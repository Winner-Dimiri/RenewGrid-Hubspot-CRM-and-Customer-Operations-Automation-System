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Data" sheetId="1" r:id="rId5"/>
    <sheet state="visible" name="Validation Rules" sheetId="2" r:id="rId6"/>
    <sheet state="visible" name="Project Notes" sheetId="3" r:id="rId7"/>
    <sheet state="visible" name="Customer Data_Raw" sheetId="4" r:id="rId8"/>
    <sheet state="visible" name="Data Quality Log" sheetId="5" r:id="rId9"/>
  </sheets>
  <definedNames>
    <definedName hidden="1" localSheetId="0" name="_xlnm._FilterDatabase">'Customer Data'!$A$1:$L$52</definedName>
  </definedNames>
  <calcPr/>
</workbook>
</file>

<file path=xl/sharedStrings.xml><?xml version="1.0" encoding="utf-8"?>
<sst xmlns="http://schemas.openxmlformats.org/spreadsheetml/2006/main" count="1204" uniqueCount="431">
  <si>
    <t>Customer ID</t>
  </si>
  <si>
    <t>Item</t>
  </si>
  <si>
    <t>First Name</t>
  </si>
  <si>
    <t>Last Name</t>
  </si>
  <si>
    <t>Details</t>
  </si>
  <si>
    <t>Email</t>
  </si>
  <si>
    <t>Phone Number</t>
  </si>
  <si>
    <t>Purpose</t>
  </si>
  <si>
    <t>Customer Type</t>
  </si>
  <si>
    <t>Community</t>
  </si>
  <si>
    <t>Meter Number</t>
  </si>
  <si>
    <t>Tariff Plan</t>
  </si>
  <si>
    <t>Synthetic operational customer dataset for the RenewGrid HubSpot CRM portfolio project.</t>
  </si>
  <si>
    <t>Service Status</t>
  </si>
  <si>
    <t>Last Recharge Date</t>
  </si>
  <si>
    <t>Records</t>
  </si>
  <si>
    <t>50 fictional existing customer records.</t>
  </si>
  <si>
    <t>Check</t>
  </si>
  <si>
    <t>Intentional Issues</t>
  </si>
  <si>
    <t>Five data-quality issues have been planted for the validation exercise.</t>
  </si>
  <si>
    <t>Privacy</t>
  </si>
  <si>
    <t>All names, contact details and identifiers are synthetic; do not contact these addresses/numbers.</t>
  </si>
  <si>
    <t>RN-00015</t>
  </si>
  <si>
    <t>Hauwa</t>
  </si>
  <si>
    <t>Next Step</t>
  </si>
  <si>
    <t>Suleiman</t>
  </si>
  <si>
    <t>hauwa.suleiman15@example.com</t>
  </si>
  <si>
    <t>Validate and clean the dataset before importing it into HubSpot.</t>
  </si>
  <si>
    <t>+2348031000014</t>
  </si>
  <si>
    <t>Small Business</t>
  </si>
  <si>
    <t>Dantia</t>
  </si>
  <si>
    <t>RN-MTR-00015</t>
  </si>
  <si>
    <t>SME Plus</t>
  </si>
  <si>
    <t>Active</t>
  </si>
  <si>
    <t>2026-06-11</t>
  </si>
  <si>
    <t>Validation Dimension</t>
  </si>
  <si>
    <t>Rule</t>
  </si>
  <si>
    <t>Expected Standard</t>
  </si>
  <si>
    <t>Completeness</t>
  </si>
  <si>
    <t>Required fields should not be blank</t>
  </si>
  <si>
    <t>Customer ID, First Name, Last Name, Email, Phone Number, Customer Type, Community, Meter Number, Tariff Plan, Service Status</t>
  </si>
  <si>
    <t>Uniqueness</t>
  </si>
  <si>
    <t>Customer ID, Email and Meter Number should be unique</t>
  </si>
  <si>
    <t>Look for duplicates</t>
  </si>
  <si>
    <t>Validity</t>
  </si>
  <si>
    <t>Community must match the approved list exactly</t>
  </si>
  <si>
    <t>Emina, Ivara, Havil, Farana, Dantia, Kelani</t>
  </si>
  <si>
    <t>Customer Type must use approved values</t>
  </si>
  <si>
    <t>Residential, Small Business, Commercial</t>
  </si>
  <si>
    <t>Service Status must use approved values</t>
  </si>
  <si>
    <t>Pending Activation, Active, Suspended, Inactive, Terminated</t>
  </si>
  <si>
    <t>Business Rule</t>
  </si>
  <si>
    <t>Tariff must match Customer Type</t>
  </si>
  <si>
    <t>Residential → Residential Basic/Plus; Small Business → SME Basic/Plus; Commercial → Commercial Standard/Premium</t>
  </si>
  <si>
    <t>Consistency</t>
  </si>
  <si>
    <t>Values should use consistent spelling/capitalization</t>
  </si>
  <si>
    <t>e.g., 'Emina', not 'emina' or 'Emina Community'</t>
  </si>
  <si>
    <t>Date Validity</t>
  </si>
  <si>
    <t>Last Recharge Date must be a valid date</t>
  </si>
  <si>
    <t>Valid calendar date; suitable for HubSpot date import</t>
  </si>
  <si>
    <t>RN-00024</t>
  </si>
  <si>
    <t>Abdul</t>
  </si>
  <si>
    <t>Olawale</t>
  </si>
  <si>
    <t>abdul.olawale24@example.com</t>
  </si>
  <si>
    <t>+2348031000023</t>
  </si>
  <si>
    <t>Commercial</t>
  </si>
  <si>
    <t>Emina</t>
  </si>
  <si>
    <t>RN-MTR-00024</t>
  </si>
  <si>
    <t>Commercial Standard</t>
  </si>
  <si>
    <t>RN-00047</t>
  </si>
  <si>
    <t>Lilian</t>
  </si>
  <si>
    <t>Ibrahim</t>
  </si>
  <si>
    <t>lilian.ibrahim47@example.com</t>
  </si>
  <si>
    <t>+2348031000046</t>
  </si>
  <si>
    <t>Residential</t>
  </si>
  <si>
    <t>Havil</t>
  </si>
  <si>
    <t>RN-MTR-00047</t>
  </si>
  <si>
    <t>Residential Plus</t>
  </si>
  <si>
    <t>RN-00020</t>
  </si>
  <si>
    <t>Kelvin</t>
  </si>
  <si>
    <t>James</t>
  </si>
  <si>
    <t>kelvin.james20@example.com</t>
  </si>
  <si>
    <t>+2348031000019</t>
  </si>
  <si>
    <t>RN-MTR-00020</t>
  </si>
  <si>
    <t>2026-06-15</t>
  </si>
  <si>
    <t>RN-00003</t>
  </si>
  <si>
    <t>Fatima</t>
  </si>
  <si>
    <t>Musa</t>
  </si>
  <si>
    <t>fatima.musa03@example.com</t>
  </si>
  <si>
    <t>+2348031000002</t>
  </si>
  <si>
    <t>RN-MTR-00003</t>
  </si>
  <si>
    <t>Residential Basic</t>
  </si>
  <si>
    <t>2026-06-17</t>
  </si>
  <si>
    <t>RN-00032</t>
  </si>
  <si>
    <t>Tunde</t>
  </si>
  <si>
    <t>Chukwu</t>
  </si>
  <si>
    <t>tunde.chukwu32@example.com</t>
  </si>
  <si>
    <t>+2348031000031</t>
  </si>
  <si>
    <t>Kelani</t>
  </si>
  <si>
    <t>RN-MTR-00032</t>
  </si>
  <si>
    <t>SME Basic</t>
  </si>
  <si>
    <t>Pending Activation</t>
  </si>
  <si>
    <t>2026-06-21</t>
  </si>
  <si>
    <t>RN-00033</t>
  </si>
  <si>
    <t>Sarah</t>
  </si>
  <si>
    <t>sarah.ibrahim33@example.com</t>
  </si>
  <si>
    <t>+2348031000032</t>
  </si>
  <si>
    <t>RN-MTR-00033</t>
  </si>
  <si>
    <t>RN-00045</t>
  </si>
  <si>
    <t>Aisha</t>
  </si>
  <si>
    <t>Bello</t>
  </si>
  <si>
    <t>aisha.bello45@example.com</t>
  </si>
  <si>
    <t>+2348031000044</t>
  </si>
  <si>
    <t>RN-MTR-00045</t>
  </si>
  <si>
    <t>2026-06-22</t>
  </si>
  <si>
    <t>RN-00001</t>
  </si>
  <si>
    <t>Amina</t>
  </si>
  <si>
    <t>amina.bello01@example.com</t>
  </si>
  <si>
    <t>+2348031000000</t>
  </si>
  <si>
    <t>RN-MTR-00001</t>
  </si>
  <si>
    <t>Inactive</t>
  </si>
  <si>
    <t>2026-06-23</t>
  </si>
  <si>
    <t>RN-00037</t>
  </si>
  <si>
    <t>Joy</t>
  </si>
  <si>
    <t>Mamman</t>
  </si>
  <si>
    <t>joy.mamman37@example.com</t>
  </si>
  <si>
    <t>+2348031000036</t>
  </si>
  <si>
    <t>Ivara</t>
  </si>
  <si>
    <t>RN-MTR-00037</t>
  </si>
  <si>
    <t>Commercial Premium</t>
  </si>
  <si>
    <t>2026-06-29</t>
  </si>
  <si>
    <t>RN-00019</t>
  </si>
  <si>
    <t>Esther</t>
  </si>
  <si>
    <t>Ezeh</t>
  </si>
  <si>
    <t>esther.ezeh19@example.com</t>
  </si>
  <si>
    <t>+2348031000018</t>
  </si>
  <si>
    <t>RN-MTR-00019</t>
  </si>
  <si>
    <t>2026-07-04</t>
  </si>
  <si>
    <t>RN-00009</t>
  </si>
  <si>
    <t>Ngozi</t>
  </si>
  <si>
    <t>Nwosu</t>
  </si>
  <si>
    <t>ngozi.nwosu09@example.com</t>
  </si>
  <si>
    <t>+2348031000008</t>
  </si>
  <si>
    <t>RN-MTR-00009</t>
  </si>
  <si>
    <t>2026-07-05</t>
  </si>
  <si>
    <t>RN-00036</t>
  </si>
  <si>
    <t>Benjamin</t>
  </si>
  <si>
    <t>Obi</t>
  </si>
  <si>
    <t>benjamin.obi36@example.com</t>
  </si>
  <si>
    <t>+2348031000035</t>
  </si>
  <si>
    <t>RN-MTR-00036</t>
  </si>
  <si>
    <t>Suspended</t>
  </si>
  <si>
    <t>2026-07-06</t>
  </si>
  <si>
    <t>RN-00023</t>
  </si>
  <si>
    <t>Ruth</t>
  </si>
  <si>
    <t>Abubakar</t>
  </si>
  <si>
    <t>ruth.abubakar23@example.com</t>
  </si>
  <si>
    <t>+2348031000022</t>
  </si>
  <si>
    <t>RN-MTR-00023</t>
  </si>
  <si>
    <t>2026-07-08</t>
  </si>
  <si>
    <t>RN-00040</t>
  </si>
  <si>
    <t>Michael</t>
  </si>
  <si>
    <t>Aliyu</t>
  </si>
  <si>
    <t>michael.aliyu40@example.com</t>
  </si>
  <si>
    <t>+2348031000039</t>
  </si>
  <si>
    <t>RN-MTR-00040</t>
  </si>
  <si>
    <t>RN-00007</t>
  </si>
  <si>
    <t>Adaeze</t>
  </si>
  <si>
    <t>Okafor</t>
  </si>
  <si>
    <t>adaeze.okafor07@example.com</t>
  </si>
  <si>
    <t>+2348031000006</t>
  </si>
  <si>
    <t>RN-MTR-00007</t>
  </si>
  <si>
    <t>2026-07-10</t>
  </si>
  <si>
    <t>RN-00018</t>
  </si>
  <si>
    <t>Mohammed</t>
  </si>
  <si>
    <t>musa.mohammed18@example.com</t>
  </si>
  <si>
    <t>+2348031000017</t>
  </si>
  <si>
    <t>RN-MTR-00018</t>
  </si>
  <si>
    <t>2026-07-12</t>
  </si>
  <si>
    <t>RN-00004</t>
  </si>
  <si>
    <t>Emeka</t>
  </si>
  <si>
    <t>Eze</t>
  </si>
  <si>
    <t>emeka.eze04@example.com</t>
  </si>
  <si>
    <t>+2348031000003</t>
  </si>
  <si>
    <t>RN-MTR-00004</t>
  </si>
  <si>
    <t>2026-07-13</t>
  </si>
  <si>
    <t>RN-00030</t>
  </si>
  <si>
    <t>Sani</t>
  </si>
  <si>
    <t>Ibe</t>
  </si>
  <si>
    <t>sani.ibe30@example.com</t>
  </si>
  <si>
    <t>+2348031000029</t>
  </si>
  <si>
    <t>RN-MTR-00030</t>
  </si>
  <si>
    <t>2026-07-16</t>
  </si>
  <si>
    <t>RN-00002</t>
  </si>
  <si>
    <t>Chinedu</t>
  </si>
  <si>
    <t>Okoro</t>
  </si>
  <si>
    <t>chinedu.okoro02@example.com</t>
  </si>
  <si>
    <t>+2348031000001</t>
  </si>
  <si>
    <t>RN-MTR-00002</t>
  </si>
  <si>
    <t>2026-07-18</t>
  </si>
  <si>
    <t>RN-00016</t>
  </si>
  <si>
    <t>Peter</t>
  </si>
  <si>
    <t>Adebayo</t>
  </si>
  <si>
    <t>peter.adebayo16@example.com</t>
  </si>
  <si>
    <t>+2348031000015</t>
  </si>
  <si>
    <t>Farana</t>
  </si>
  <si>
    <t>RN-MTR-00016</t>
  </si>
  <si>
    <t>RN-00041</t>
  </si>
  <si>
    <t>Nneka</t>
  </si>
  <si>
    <t>Nnamani</t>
  </si>
  <si>
    <t>nneka.nnamani41@example.com</t>
  </si>
  <si>
    <t>+2348031000040</t>
  </si>
  <si>
    <t>RN-MTR-00041</t>
  </si>
  <si>
    <t>2026-07-20</t>
  </si>
  <si>
    <t>RN-00010</t>
  </si>
  <si>
    <t>Samuel</t>
  </si>
  <si>
    <t>Yusuf</t>
  </si>
  <si>
    <t>samuel.yusuf10@example.com</t>
  </si>
  <si>
    <t>+2348031000009</t>
  </si>
  <si>
    <t>Record</t>
  </si>
  <si>
    <t>RN-MTR-00010</t>
  </si>
  <si>
    <t>2026-07-21</t>
  </si>
  <si>
    <t>RN-00011</t>
  </si>
  <si>
    <t>Mary</t>
  </si>
  <si>
    <t>Issue</t>
  </si>
  <si>
    <t>Johnson</t>
  </si>
  <si>
    <t>mary.johnson11@example.com</t>
  </si>
  <si>
    <t>Category</t>
  </si>
  <si>
    <t>+2348031000010</t>
  </si>
  <si>
    <t>Finding</t>
  </si>
  <si>
    <t>RN-MTR-00011</t>
  </si>
  <si>
    <t>Source/Reason</t>
  </si>
  <si>
    <t>Corrective Action</t>
  </si>
  <si>
    <t>RN-00027</t>
  </si>
  <si>
    <t>Halima</t>
  </si>
  <si>
    <t>Status</t>
  </si>
  <si>
    <t>Akinyemi</t>
  </si>
  <si>
    <t>halima.akinyemi27@example.com</t>
  </si>
  <si>
    <t>+2348031000026</t>
  </si>
  <si>
    <t>RN-MTR-00027</t>
  </si>
  <si>
    <t>2026-07-22</t>
  </si>
  <si>
    <t>RN-00022</t>
  </si>
  <si>
    <t>Obinna</t>
  </si>
  <si>
    <t>Umeh</t>
  </si>
  <si>
    <t>obinna.umeh22@example.com</t>
  </si>
  <si>
    <t>+2348031000021</t>
  </si>
  <si>
    <t>RN-MTR-00022</t>
  </si>
  <si>
    <t>2026-07-23</t>
  </si>
  <si>
    <t>RN-00025</t>
  </si>
  <si>
    <t>Amaka</t>
  </si>
  <si>
    <t>Zainab Balogun</t>
  </si>
  <si>
    <t>Nwachukwu</t>
  </si>
  <si>
    <t>amaka.nwachukwu25@example.com</t>
  </si>
  <si>
    <t>+2348031000024</t>
  </si>
  <si>
    <t>Missing phone</t>
  </si>
  <si>
    <t>Phone unavailable in dataset</t>
  </si>
  <si>
    <t>RN-MTR-00025</t>
  </si>
  <si>
    <t>Customer source</t>
  </si>
  <si>
    <t>Verify from source and update</t>
  </si>
  <si>
    <t>Resolved</t>
  </si>
  <si>
    <t>Emeka Eze</t>
  </si>
  <si>
    <t>Shared email</t>
  </si>
  <si>
    <t>Data Quality Review</t>
  </si>
  <si>
    <t>RN-00017</t>
  </si>
  <si>
    <t>Two distinct customers share email</t>
  </si>
  <si>
    <t>Chioma</t>
  </si>
  <si>
    <t>Onuoha</t>
  </si>
  <si>
    <t>Compare customer attributes</t>
  </si>
  <si>
    <t>chioma.onuoha17@example.com</t>
  </si>
  <si>
    <t>+2348031000016</t>
  </si>
  <si>
    <t>Godwin Adekunle</t>
  </si>
  <si>
    <t>RN-MTR-00017</t>
  </si>
  <si>
    <t>Tariff mismatch</t>
  </si>
  <si>
    <t xml:space="preserve"> </t>
  </si>
  <si>
    <t>2026-07-24</t>
  </si>
  <si>
    <t>Commercial customer on Residential Plus</t>
  </si>
  <si>
    <t>Customer type/tariff rule</t>
  </si>
  <si>
    <t>Change to Commercial Standard</t>
  </si>
  <si>
    <t>RN-00031</t>
  </si>
  <si>
    <t>Ifeoma</t>
  </si>
  <si>
    <t>Ojo</t>
  </si>
  <si>
    <t>ifeoma.ojo31@example.com</t>
  </si>
  <si>
    <t>Francis Uche</t>
  </si>
  <si>
    <t>+2348031000030</t>
  </si>
  <si>
    <t>Invalid date</t>
  </si>
  <si>
    <t>RN-MTR-00031</t>
  </si>
  <si>
    <t>31/02/2026 doesn't exist</t>
  </si>
  <si>
    <t>Recharge record</t>
  </si>
  <si>
    <t>Replace with verified date</t>
  </si>
  <si>
    <t>RN-00034</t>
  </si>
  <si>
    <t>Godwin</t>
  </si>
  <si>
    <t>Adekunle</t>
  </si>
  <si>
    <t>godwin.adekunle34@example.com</t>
  </si>
  <si>
    <t>Halima Akinyemi</t>
  </si>
  <si>
    <t>+2348031000033</t>
  </si>
  <si>
    <t>Community spelling</t>
  </si>
  <si>
    <t>RN-MTR-00034</t>
  </si>
  <si>
    <t>"emina" inconsistent with approved value</t>
  </si>
  <si>
    <t>Approved community list</t>
  </si>
  <si>
    <t>2026-07-27</t>
  </si>
  <si>
    <t>Change to Emina</t>
  </si>
  <si>
    <t>RN-00042</t>
  </si>
  <si>
    <t>Ishaq</t>
  </si>
  <si>
    <t>ishaq.sani42@example.com</t>
  </si>
  <si>
    <t>+2348031000041</t>
  </si>
  <si>
    <t>RN-MTR-00042</t>
  </si>
  <si>
    <t>RN-00044</t>
  </si>
  <si>
    <t>Anthony</t>
  </si>
  <si>
    <t>Danladi</t>
  </si>
  <si>
    <t>anthony.danladi44@example.com</t>
  </si>
  <si>
    <t>+2348031000043</t>
  </si>
  <si>
    <t>RN-MTR-00044</t>
  </si>
  <si>
    <t>2026-07-28</t>
  </si>
  <si>
    <t>RN-00050</t>
  </si>
  <si>
    <t>John</t>
  </si>
  <si>
    <t>Adamu</t>
  </si>
  <si>
    <t>john.adamu50@example.com</t>
  </si>
  <si>
    <t>+2348031000049</t>
  </si>
  <si>
    <t>RN-MTR-00050</t>
  </si>
  <si>
    <t>2026-07-30</t>
  </si>
  <si>
    <t>RN-00006</t>
  </si>
  <si>
    <t>Adeyemi</t>
  </si>
  <si>
    <t>ibrahim.adeyemi06@example.com</t>
  </si>
  <si>
    <t>+2348031000005</t>
  </si>
  <si>
    <t>RN-MTR-00006</t>
  </si>
  <si>
    <t>2026-07-31</t>
  </si>
  <si>
    <t>RN-00005</t>
  </si>
  <si>
    <t>Blessing</t>
  </si>
  <si>
    <t>blessing.ibrahim05@example.com</t>
  </si>
  <si>
    <t>+2348031000004</t>
  </si>
  <si>
    <t>RN-MTR-00005</t>
  </si>
  <si>
    <t>2026-08-01</t>
  </si>
  <si>
    <t>RN-00043</t>
  </si>
  <si>
    <t>Deborah</t>
  </si>
  <si>
    <t>Okonkwo</t>
  </si>
  <si>
    <t>deborah.okonkwo43@example.com</t>
  </si>
  <si>
    <t>+2348031000042</t>
  </si>
  <si>
    <t>RN-MTR-00043</t>
  </si>
  <si>
    <t>2026-08-03</t>
  </si>
  <si>
    <t>RN-00014</t>
  </si>
  <si>
    <t>David</t>
  </si>
  <si>
    <t>Williams</t>
  </si>
  <si>
    <t>david.williams14@example.com</t>
  </si>
  <si>
    <t>+2348031000013</t>
  </si>
  <si>
    <t>RN-MTR-00014</t>
  </si>
  <si>
    <t>2026-08-04</t>
  </si>
  <si>
    <t>RN-00021</t>
  </si>
  <si>
    <t>Zainab</t>
  </si>
  <si>
    <t>Balogun</t>
  </si>
  <si>
    <t>zainab.balogun21@example.com</t>
  </si>
  <si>
    <t>+2348031000093</t>
  </si>
  <si>
    <t>RN-MTR-00021</t>
  </si>
  <si>
    <t>2026-08-05</t>
  </si>
  <si>
    <t>RN-00035</t>
  </si>
  <si>
    <t>Mariam</t>
  </si>
  <si>
    <t>Bassey</t>
  </si>
  <si>
    <t>mariam.bassey35@example.com</t>
  </si>
  <si>
    <t>+2348031000034</t>
  </si>
  <si>
    <t>RN-MTR-00035</t>
  </si>
  <si>
    <t>2026-08-08</t>
  </si>
  <si>
    <t>RN-00049</t>
  </si>
  <si>
    <t>Precious</t>
  </si>
  <si>
    <t>Nwankwo</t>
  </si>
  <si>
    <t>precious.nwankwo49@example.com</t>
  </si>
  <si>
    <t>+2348031000048</t>
  </si>
  <si>
    <t>RN-MTR-00049</t>
  </si>
  <si>
    <t>2026-08-09</t>
  </si>
  <si>
    <t>RN-00012</t>
  </si>
  <si>
    <t>Daniel</t>
  </si>
  <si>
    <t>Madu</t>
  </si>
  <si>
    <t>daniel.madu12@example.com</t>
  </si>
  <si>
    <t>+2348031000011</t>
  </si>
  <si>
    <t>RN-MTR-00012</t>
  </si>
  <si>
    <t>2026-08-10</t>
  </si>
  <si>
    <t>RN-00026</t>
  </si>
  <si>
    <t>Joseph</t>
  </si>
  <si>
    <t>Usman</t>
  </si>
  <si>
    <t>joseph.usman26@example.com</t>
  </si>
  <si>
    <t>+2348031000025</t>
  </si>
  <si>
    <t>RN-MTR-00026</t>
  </si>
  <si>
    <t>Terminated</t>
  </si>
  <si>
    <t>2026-08-11</t>
  </si>
  <si>
    <t>RN-00029</t>
  </si>
  <si>
    <t>Janet</t>
  </si>
  <si>
    <t>Garba</t>
  </si>
  <si>
    <t>janet.garba29@example.com</t>
  </si>
  <si>
    <t>+2348031000028</t>
  </si>
  <si>
    <t>RN-MTR-00029</t>
  </si>
  <si>
    <t>RN-00013</t>
  </si>
  <si>
    <t>Grace</t>
  </si>
  <si>
    <t>+2348031000012</t>
  </si>
  <si>
    <t>RN-MTR-00013</t>
  </si>
  <si>
    <t>2026-08-12</t>
  </si>
  <si>
    <t>RN-00039</t>
  </si>
  <si>
    <t>Patience</t>
  </si>
  <si>
    <t>patience.eze39@example.com</t>
  </si>
  <si>
    <t>+2348031000038</t>
  </si>
  <si>
    <t>RN-MTR-00039</t>
  </si>
  <si>
    <t>2026-08-13</t>
  </si>
  <si>
    <t>RN-00038</t>
  </si>
  <si>
    <t>Okechukwu</t>
  </si>
  <si>
    <t>usman.okechukwu38@example.com</t>
  </si>
  <si>
    <t>+2348031000037</t>
  </si>
  <si>
    <t>RN-MTR-00038</t>
  </si>
  <si>
    <t>2026-08-14</t>
  </si>
  <si>
    <t>RN-00048</t>
  </si>
  <si>
    <t>Kabiru</t>
  </si>
  <si>
    <t>kabiru.musa48@example.com</t>
  </si>
  <si>
    <t>+2348031000047</t>
  </si>
  <si>
    <t>RN-MTR-00048</t>
  </si>
  <si>
    <t>RN-00028</t>
  </si>
  <si>
    <t>Victor</t>
  </si>
  <si>
    <t>Okeke</t>
  </si>
  <si>
    <t>victor.okeke28@example.com</t>
  </si>
  <si>
    <t>+2348031000027</t>
  </si>
  <si>
    <t>RN-MTR-00028</t>
  </si>
  <si>
    <t>2026-08-16</t>
  </si>
  <si>
    <t>RN-00008</t>
  </si>
  <si>
    <t>Abdullahi</t>
  </si>
  <si>
    <t>yusuf.abdullahi08@example.com</t>
  </si>
  <si>
    <t>+2348031000007</t>
  </si>
  <si>
    <t>RN-MTR-00008</t>
  </si>
  <si>
    <t>2026-08-18</t>
  </si>
  <si>
    <t>RN-00046</t>
  </si>
  <si>
    <t>Francis</t>
  </si>
  <si>
    <t>Uche</t>
  </si>
  <si>
    <t>francis.uche46@example.com</t>
  </si>
  <si>
    <t>+2348031000045</t>
  </si>
  <si>
    <t>RN-MTR-00046</t>
  </si>
  <si>
    <t>emina</t>
  </si>
  <si>
    <t>31/02/2026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</si>
</sst>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2" fillId="0" fontId="1" numFmtId="0" xfId="0" applyAlignment="1" applyBorder="1" applyFont="1">
      <alignment horizontal="center" vertical="top"/>
    </xf>
    <xf borderId="0" fillId="0" fontId="3" numFmtId="1" xfId="0" applyFont="1" applyNumberFormat="1"/>
    <xf borderId="0" fillId="0" fontId="3" numFmtId="164" xfId="0" applyAlignment="1" applyFont="1" applyNumberFormat="1">
      <alignment horizontal="left"/>
    </xf>
    <xf borderId="0" fillId="0" fontId="3" numFmtId="164" xfId="0" applyFont="1" applyNumberFormat="1"/>
    <xf borderId="0" fillId="0" fontId="1" numFmtId="0" xfId="0" applyAlignment="1" applyFont="1">
      <alignment horizontal="center" shrinkToFit="0" vertical="center" wrapText="1"/>
    </xf>
    <xf borderId="0" fillId="0" fontId="1" numFmtId="0" xfId="0" applyFont="1"/>
    <xf borderId="0" fillId="0" fontId="3" numFmtId="0" xfId="0" applyAlignment="1" applyFont="1">
      <alignment shrinkToFit="0" vertical="center" wrapText="1"/>
    </xf>
    <xf quotePrefix="1" borderId="0" fillId="0" fontId="3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2.14"/>
    <col customWidth="1" min="4" max="4" width="34.86"/>
    <col customWidth="1" min="5" max="5" width="18.86"/>
    <col customWidth="1" min="6" max="7" width="12.14"/>
    <col customWidth="1" min="8" max="8" width="17.57"/>
    <col customWidth="1" min="9" max="9" width="22.14"/>
    <col customWidth="1" min="10" max="10" width="18.43"/>
    <col customWidth="1" min="11" max="11" width="16.14"/>
    <col customWidth="1" min="12" max="26" width="12.14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13</v>
      </c>
      <c r="K1" s="1" t="s">
        <v>14</v>
      </c>
      <c r="L1" s="3" t="s">
        <v>17</v>
      </c>
    </row>
    <row r="2">
      <c r="A2" s="2" t="s">
        <v>22</v>
      </c>
      <c r="B2" s="2" t="s">
        <v>23</v>
      </c>
      <c r="C2" s="2" t="s">
        <v>25</v>
      </c>
      <c r="D2" s="2" t="s">
        <v>26</v>
      </c>
      <c r="E2" s="4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5" t="s">
        <v>34</v>
      </c>
      <c r="L2" s="2" t="b">
        <f t="shared" ref="L2:L51" si="1">COUNTIF(H2:H51,H2)=1</f>
        <v>1</v>
      </c>
    </row>
    <row r="3">
      <c r="A3" s="2" t="s">
        <v>60</v>
      </c>
      <c r="B3" s="2" t="s">
        <v>61</v>
      </c>
      <c r="C3" s="2" t="s">
        <v>62</v>
      </c>
      <c r="D3" s="2" t="s">
        <v>63</v>
      </c>
      <c r="E3" s="4" t="s">
        <v>64</v>
      </c>
      <c r="F3" s="2" t="s">
        <v>65</v>
      </c>
      <c r="G3" s="2" t="s">
        <v>66</v>
      </c>
      <c r="H3" s="2" t="s">
        <v>67</v>
      </c>
      <c r="I3" s="2" t="s">
        <v>68</v>
      </c>
      <c r="J3" s="2" t="s">
        <v>33</v>
      </c>
      <c r="K3" s="5" t="s">
        <v>34</v>
      </c>
      <c r="L3" s="2" t="b">
        <f t="shared" si="1"/>
        <v>1</v>
      </c>
    </row>
    <row r="4">
      <c r="A4" s="2" t="s">
        <v>69</v>
      </c>
      <c r="B4" s="2" t="s">
        <v>70</v>
      </c>
      <c r="C4" s="2" t="s">
        <v>71</v>
      </c>
      <c r="D4" s="2" t="s">
        <v>72</v>
      </c>
      <c r="E4" s="4" t="s">
        <v>73</v>
      </c>
      <c r="F4" s="2" t="s">
        <v>74</v>
      </c>
      <c r="G4" s="2" t="s">
        <v>75</v>
      </c>
      <c r="H4" s="2" t="s">
        <v>76</v>
      </c>
      <c r="I4" s="2" t="s">
        <v>77</v>
      </c>
      <c r="J4" s="2" t="s">
        <v>33</v>
      </c>
      <c r="K4" s="5" t="s">
        <v>34</v>
      </c>
      <c r="L4" s="2" t="b">
        <f t="shared" si="1"/>
        <v>1</v>
      </c>
    </row>
    <row r="5">
      <c r="A5" s="2" t="s">
        <v>78</v>
      </c>
      <c r="B5" s="2" t="s">
        <v>79</v>
      </c>
      <c r="C5" s="2" t="s">
        <v>80</v>
      </c>
      <c r="D5" s="2" t="s">
        <v>81</v>
      </c>
      <c r="E5" s="4" t="s">
        <v>82</v>
      </c>
      <c r="F5" s="2" t="s">
        <v>74</v>
      </c>
      <c r="G5" s="2" t="s">
        <v>66</v>
      </c>
      <c r="H5" s="2" t="s">
        <v>83</v>
      </c>
      <c r="I5" s="2" t="s">
        <v>77</v>
      </c>
      <c r="J5" s="2" t="s">
        <v>33</v>
      </c>
      <c r="K5" s="5" t="s">
        <v>84</v>
      </c>
      <c r="L5" s="2" t="b">
        <f t="shared" si="1"/>
        <v>1</v>
      </c>
    </row>
    <row r="6">
      <c r="A6" s="2" t="s">
        <v>85</v>
      </c>
      <c r="B6" s="2" t="s">
        <v>86</v>
      </c>
      <c r="C6" s="2" t="s">
        <v>87</v>
      </c>
      <c r="D6" s="2" t="s">
        <v>88</v>
      </c>
      <c r="E6" s="4" t="s">
        <v>89</v>
      </c>
      <c r="F6" s="2" t="s">
        <v>74</v>
      </c>
      <c r="G6" s="2" t="s">
        <v>66</v>
      </c>
      <c r="H6" s="2" t="s">
        <v>90</v>
      </c>
      <c r="I6" s="2" t="s">
        <v>91</v>
      </c>
      <c r="J6" s="2" t="s">
        <v>33</v>
      </c>
      <c r="K6" s="5" t="s">
        <v>92</v>
      </c>
      <c r="L6" s="2" t="b">
        <f t="shared" si="1"/>
        <v>1</v>
      </c>
    </row>
    <row r="7">
      <c r="A7" s="2" t="s">
        <v>93</v>
      </c>
      <c r="B7" s="2" t="s">
        <v>94</v>
      </c>
      <c r="C7" s="2" t="s">
        <v>95</v>
      </c>
      <c r="D7" s="2" t="s">
        <v>96</v>
      </c>
      <c r="E7" s="4" t="s">
        <v>97</v>
      </c>
      <c r="F7" s="2" t="s">
        <v>29</v>
      </c>
      <c r="G7" s="2" t="s">
        <v>98</v>
      </c>
      <c r="H7" s="2" t="s">
        <v>99</v>
      </c>
      <c r="I7" s="2" t="s">
        <v>100</v>
      </c>
      <c r="J7" s="2" t="s">
        <v>101</v>
      </c>
      <c r="K7" s="5" t="s">
        <v>102</v>
      </c>
      <c r="L7" s="2" t="b">
        <f t="shared" si="1"/>
        <v>1</v>
      </c>
    </row>
    <row r="8">
      <c r="A8" s="2" t="s">
        <v>103</v>
      </c>
      <c r="B8" s="2" t="s">
        <v>104</v>
      </c>
      <c r="C8" s="2" t="s">
        <v>71</v>
      </c>
      <c r="D8" s="2" t="s">
        <v>105</v>
      </c>
      <c r="E8" s="4" t="s">
        <v>106</v>
      </c>
      <c r="F8" s="2" t="s">
        <v>29</v>
      </c>
      <c r="G8" s="2" t="s">
        <v>75</v>
      </c>
      <c r="H8" s="2" t="s">
        <v>107</v>
      </c>
      <c r="I8" s="2" t="s">
        <v>100</v>
      </c>
      <c r="J8" s="2" t="s">
        <v>33</v>
      </c>
      <c r="K8" s="5" t="s">
        <v>102</v>
      </c>
      <c r="L8" s="2" t="b">
        <f t="shared" si="1"/>
        <v>1</v>
      </c>
    </row>
    <row r="9">
      <c r="A9" s="2" t="s">
        <v>108</v>
      </c>
      <c r="B9" s="2" t="s">
        <v>109</v>
      </c>
      <c r="C9" s="2" t="s">
        <v>110</v>
      </c>
      <c r="D9" s="2" t="s">
        <v>111</v>
      </c>
      <c r="E9" s="4" t="s">
        <v>112</v>
      </c>
      <c r="F9" s="2" t="s">
        <v>74</v>
      </c>
      <c r="G9" s="2" t="s">
        <v>30</v>
      </c>
      <c r="H9" s="2" t="s">
        <v>113</v>
      </c>
      <c r="I9" s="2" t="s">
        <v>77</v>
      </c>
      <c r="J9" s="2" t="s">
        <v>33</v>
      </c>
      <c r="K9" s="5" t="s">
        <v>114</v>
      </c>
      <c r="L9" s="2" t="b">
        <f t="shared" si="1"/>
        <v>1</v>
      </c>
    </row>
    <row r="10">
      <c r="A10" s="2" t="s">
        <v>115</v>
      </c>
      <c r="B10" s="2" t="s">
        <v>116</v>
      </c>
      <c r="C10" s="2" t="s">
        <v>110</v>
      </c>
      <c r="D10" s="2" t="s">
        <v>117</v>
      </c>
      <c r="E10" s="4" t="s">
        <v>118</v>
      </c>
      <c r="F10" s="2" t="s">
        <v>29</v>
      </c>
      <c r="G10" s="2" t="s">
        <v>75</v>
      </c>
      <c r="H10" s="2" t="s">
        <v>119</v>
      </c>
      <c r="I10" s="2" t="s">
        <v>100</v>
      </c>
      <c r="J10" s="2" t="s">
        <v>120</v>
      </c>
      <c r="K10" s="5" t="s">
        <v>121</v>
      </c>
      <c r="L10" s="2" t="b">
        <f t="shared" si="1"/>
        <v>1</v>
      </c>
    </row>
    <row r="11">
      <c r="A11" s="2" t="s">
        <v>122</v>
      </c>
      <c r="B11" s="2" t="s">
        <v>123</v>
      </c>
      <c r="C11" s="2" t="s">
        <v>124</v>
      </c>
      <c r="D11" s="2" t="s">
        <v>125</v>
      </c>
      <c r="E11" s="4" t="s">
        <v>126</v>
      </c>
      <c r="F11" s="2" t="s">
        <v>65</v>
      </c>
      <c r="G11" s="2" t="s">
        <v>127</v>
      </c>
      <c r="H11" s="2" t="s">
        <v>128</v>
      </c>
      <c r="I11" s="2" t="s">
        <v>129</v>
      </c>
      <c r="J11" s="2" t="s">
        <v>33</v>
      </c>
      <c r="K11" s="5" t="s">
        <v>130</v>
      </c>
      <c r="L11" s="2" t="b">
        <f t="shared" si="1"/>
        <v>1</v>
      </c>
    </row>
    <row r="12">
      <c r="A12" s="2" t="s">
        <v>131</v>
      </c>
      <c r="B12" s="2" t="s">
        <v>132</v>
      </c>
      <c r="C12" s="2" t="s">
        <v>133</v>
      </c>
      <c r="D12" s="2" t="s">
        <v>134</v>
      </c>
      <c r="E12" s="4" t="s">
        <v>135</v>
      </c>
      <c r="F12" s="2" t="s">
        <v>29</v>
      </c>
      <c r="G12" s="2" t="s">
        <v>98</v>
      </c>
      <c r="H12" s="2" t="s">
        <v>136</v>
      </c>
      <c r="I12" s="2" t="s">
        <v>32</v>
      </c>
      <c r="J12" s="2" t="s">
        <v>33</v>
      </c>
      <c r="K12" s="5" t="s">
        <v>137</v>
      </c>
      <c r="L12" s="2" t="b">
        <f t="shared" si="1"/>
        <v>1</v>
      </c>
    </row>
    <row r="13">
      <c r="A13" s="2" t="s">
        <v>138</v>
      </c>
      <c r="B13" s="2" t="s">
        <v>139</v>
      </c>
      <c r="C13" s="2" t="s">
        <v>140</v>
      </c>
      <c r="D13" s="2" t="s">
        <v>141</v>
      </c>
      <c r="E13" s="4" t="s">
        <v>142</v>
      </c>
      <c r="F13" s="2" t="s">
        <v>29</v>
      </c>
      <c r="G13" s="2" t="s">
        <v>75</v>
      </c>
      <c r="H13" s="2" t="s">
        <v>143</v>
      </c>
      <c r="I13" s="2" t="s">
        <v>100</v>
      </c>
      <c r="J13" s="2" t="s">
        <v>33</v>
      </c>
      <c r="K13" s="5" t="s">
        <v>144</v>
      </c>
      <c r="L13" s="2" t="b">
        <f t="shared" si="1"/>
        <v>1</v>
      </c>
    </row>
    <row r="14">
      <c r="A14" s="2" t="s">
        <v>145</v>
      </c>
      <c r="B14" s="2" t="s">
        <v>146</v>
      </c>
      <c r="C14" s="2" t="s">
        <v>147</v>
      </c>
      <c r="D14" s="2" t="s">
        <v>148</v>
      </c>
      <c r="E14" s="4" t="s">
        <v>149</v>
      </c>
      <c r="F14" s="2" t="s">
        <v>65</v>
      </c>
      <c r="G14" s="2" t="s">
        <v>30</v>
      </c>
      <c r="H14" s="2" t="s">
        <v>150</v>
      </c>
      <c r="I14" s="2" t="s">
        <v>129</v>
      </c>
      <c r="J14" s="2" t="s">
        <v>151</v>
      </c>
      <c r="K14" s="5" t="s">
        <v>152</v>
      </c>
      <c r="L14" s="2" t="b">
        <f t="shared" si="1"/>
        <v>1</v>
      </c>
    </row>
    <row r="15">
      <c r="A15" s="2" t="s">
        <v>153</v>
      </c>
      <c r="B15" s="2" t="s">
        <v>154</v>
      </c>
      <c r="C15" s="2" t="s">
        <v>155</v>
      </c>
      <c r="D15" s="2" t="s">
        <v>156</v>
      </c>
      <c r="E15" s="4" t="s">
        <v>157</v>
      </c>
      <c r="F15" s="2" t="s">
        <v>29</v>
      </c>
      <c r="G15" s="2" t="s">
        <v>66</v>
      </c>
      <c r="H15" s="2" t="s">
        <v>158</v>
      </c>
      <c r="I15" s="2" t="s">
        <v>100</v>
      </c>
      <c r="J15" s="2" t="s">
        <v>33</v>
      </c>
      <c r="K15" s="5" t="s">
        <v>159</v>
      </c>
      <c r="L15" s="2" t="b">
        <f t="shared" si="1"/>
        <v>1</v>
      </c>
    </row>
    <row r="16">
      <c r="A16" s="2" t="s">
        <v>160</v>
      </c>
      <c r="B16" s="2" t="s">
        <v>161</v>
      </c>
      <c r="C16" s="2" t="s">
        <v>162</v>
      </c>
      <c r="D16" s="2" t="s">
        <v>163</v>
      </c>
      <c r="E16" s="4" t="s">
        <v>164</v>
      </c>
      <c r="F16" s="2" t="s">
        <v>29</v>
      </c>
      <c r="G16" s="2" t="s">
        <v>66</v>
      </c>
      <c r="H16" s="2" t="s">
        <v>165</v>
      </c>
      <c r="I16" s="2" t="s">
        <v>32</v>
      </c>
      <c r="J16" s="2" t="s">
        <v>33</v>
      </c>
      <c r="K16" s="5" t="s">
        <v>159</v>
      </c>
      <c r="L16" s="2" t="b">
        <f t="shared" si="1"/>
        <v>1</v>
      </c>
    </row>
    <row r="17">
      <c r="A17" s="2" t="s">
        <v>166</v>
      </c>
      <c r="B17" s="2" t="s">
        <v>167</v>
      </c>
      <c r="C17" s="2" t="s">
        <v>168</v>
      </c>
      <c r="D17" s="2" t="s">
        <v>169</v>
      </c>
      <c r="E17" s="4" t="s">
        <v>170</v>
      </c>
      <c r="F17" s="2" t="s">
        <v>29</v>
      </c>
      <c r="G17" s="2" t="s">
        <v>66</v>
      </c>
      <c r="H17" s="2" t="s">
        <v>171</v>
      </c>
      <c r="I17" s="2" t="s">
        <v>100</v>
      </c>
      <c r="J17" s="2" t="s">
        <v>33</v>
      </c>
      <c r="K17" s="5" t="s">
        <v>172</v>
      </c>
      <c r="L17" s="2" t="b">
        <f t="shared" si="1"/>
        <v>1</v>
      </c>
    </row>
    <row r="18">
      <c r="A18" s="2" t="s">
        <v>173</v>
      </c>
      <c r="B18" s="2" t="s">
        <v>87</v>
      </c>
      <c r="C18" s="2" t="s">
        <v>174</v>
      </c>
      <c r="D18" s="2" t="s">
        <v>175</v>
      </c>
      <c r="E18" s="4" t="s">
        <v>176</v>
      </c>
      <c r="F18" s="2" t="s">
        <v>74</v>
      </c>
      <c r="G18" s="2" t="s">
        <v>98</v>
      </c>
      <c r="H18" s="2" t="s">
        <v>177</v>
      </c>
      <c r="I18" s="2" t="s">
        <v>91</v>
      </c>
      <c r="J18" s="2" t="s">
        <v>33</v>
      </c>
      <c r="K18" s="5" t="s">
        <v>178</v>
      </c>
      <c r="L18" s="2" t="b">
        <f t="shared" si="1"/>
        <v>1</v>
      </c>
    </row>
    <row r="19">
      <c r="A19" s="2" t="s">
        <v>179</v>
      </c>
      <c r="B19" s="2" t="s">
        <v>180</v>
      </c>
      <c r="C19" s="2" t="s">
        <v>181</v>
      </c>
      <c r="D19" s="2" t="s">
        <v>182</v>
      </c>
      <c r="E19" s="4" t="s">
        <v>183</v>
      </c>
      <c r="F19" s="2" t="s">
        <v>74</v>
      </c>
      <c r="G19" s="2" t="s">
        <v>127</v>
      </c>
      <c r="H19" s="2" t="s">
        <v>184</v>
      </c>
      <c r="I19" s="2" t="s">
        <v>91</v>
      </c>
      <c r="J19" s="2" t="s">
        <v>33</v>
      </c>
      <c r="K19" s="5" t="s">
        <v>185</v>
      </c>
      <c r="L19" s="2" t="b">
        <f t="shared" si="1"/>
        <v>1</v>
      </c>
    </row>
    <row r="20">
      <c r="A20" s="2" t="s">
        <v>186</v>
      </c>
      <c r="B20" s="2" t="s">
        <v>187</v>
      </c>
      <c r="C20" s="2" t="s">
        <v>188</v>
      </c>
      <c r="D20" s="2" t="s">
        <v>189</v>
      </c>
      <c r="E20" s="4" t="s">
        <v>190</v>
      </c>
      <c r="F20" s="2" t="s">
        <v>65</v>
      </c>
      <c r="G20" s="2" t="s">
        <v>66</v>
      </c>
      <c r="H20" s="2" t="s">
        <v>191</v>
      </c>
      <c r="I20" s="2" t="s">
        <v>68</v>
      </c>
      <c r="J20" s="2" t="s">
        <v>33</v>
      </c>
      <c r="K20" s="5" t="s">
        <v>192</v>
      </c>
      <c r="L20" s="2" t="b">
        <f t="shared" si="1"/>
        <v>1</v>
      </c>
    </row>
    <row r="21" ht="15.75" customHeight="1">
      <c r="A21" s="2" t="s">
        <v>193</v>
      </c>
      <c r="B21" s="2" t="s">
        <v>194</v>
      </c>
      <c r="C21" s="2" t="s">
        <v>195</v>
      </c>
      <c r="D21" s="2" t="s">
        <v>196</v>
      </c>
      <c r="E21" s="4" t="s">
        <v>197</v>
      </c>
      <c r="F21" s="2" t="s">
        <v>74</v>
      </c>
      <c r="G21" s="2" t="s">
        <v>127</v>
      </c>
      <c r="H21" s="2" t="s">
        <v>198</v>
      </c>
      <c r="I21" s="2" t="s">
        <v>91</v>
      </c>
      <c r="J21" s="2" t="s">
        <v>120</v>
      </c>
      <c r="K21" s="5" t="s">
        <v>199</v>
      </c>
      <c r="L21" s="2" t="b">
        <f t="shared" si="1"/>
        <v>1</v>
      </c>
    </row>
    <row r="22" ht="15.75" customHeight="1">
      <c r="A22" s="2" t="s">
        <v>200</v>
      </c>
      <c r="B22" s="2" t="s">
        <v>201</v>
      </c>
      <c r="C22" s="2" t="s">
        <v>202</v>
      </c>
      <c r="D22" s="2" t="s">
        <v>203</v>
      </c>
      <c r="E22" s="4" t="s">
        <v>204</v>
      </c>
      <c r="F22" s="2" t="s">
        <v>29</v>
      </c>
      <c r="G22" s="2" t="s">
        <v>205</v>
      </c>
      <c r="H22" s="2" t="s">
        <v>206</v>
      </c>
      <c r="I22" s="2" t="s">
        <v>100</v>
      </c>
      <c r="J22" s="2" t="s">
        <v>151</v>
      </c>
      <c r="K22" s="5" t="s">
        <v>199</v>
      </c>
      <c r="L22" s="2" t="b">
        <f t="shared" si="1"/>
        <v>1</v>
      </c>
    </row>
    <row r="23" ht="15.75" customHeight="1">
      <c r="A23" s="2" t="s">
        <v>207</v>
      </c>
      <c r="B23" s="2" t="s">
        <v>208</v>
      </c>
      <c r="C23" s="2" t="s">
        <v>209</v>
      </c>
      <c r="D23" s="2" t="s">
        <v>210</v>
      </c>
      <c r="E23" s="4" t="s">
        <v>211</v>
      </c>
      <c r="F23" s="2" t="s">
        <v>74</v>
      </c>
      <c r="G23" s="2" t="s">
        <v>205</v>
      </c>
      <c r="H23" s="2" t="s">
        <v>212</v>
      </c>
      <c r="I23" s="2" t="s">
        <v>91</v>
      </c>
      <c r="J23" s="2" t="s">
        <v>33</v>
      </c>
      <c r="K23" s="5" t="s">
        <v>213</v>
      </c>
      <c r="L23" s="2" t="b">
        <f t="shared" si="1"/>
        <v>1</v>
      </c>
    </row>
    <row r="24" ht="15.75" customHeight="1">
      <c r="A24" s="2" t="s">
        <v>214</v>
      </c>
      <c r="B24" s="2" t="s">
        <v>215</v>
      </c>
      <c r="C24" s="2" t="s">
        <v>216</v>
      </c>
      <c r="D24" s="2" t="s">
        <v>217</v>
      </c>
      <c r="E24" s="4" t="s">
        <v>218</v>
      </c>
      <c r="F24" s="2" t="s">
        <v>74</v>
      </c>
      <c r="G24" s="2" t="s">
        <v>66</v>
      </c>
      <c r="H24" s="2" t="s">
        <v>220</v>
      </c>
      <c r="I24" s="2" t="s">
        <v>77</v>
      </c>
      <c r="J24" s="2" t="s">
        <v>33</v>
      </c>
      <c r="K24" s="5" t="s">
        <v>221</v>
      </c>
      <c r="L24" s="2" t="b">
        <f t="shared" si="1"/>
        <v>1</v>
      </c>
    </row>
    <row r="25" ht="15.75" customHeight="1">
      <c r="A25" s="2" t="s">
        <v>222</v>
      </c>
      <c r="B25" s="2" t="s">
        <v>223</v>
      </c>
      <c r="C25" s="2" t="s">
        <v>225</v>
      </c>
      <c r="D25" s="2" t="s">
        <v>226</v>
      </c>
      <c r="E25" s="4" t="s">
        <v>228</v>
      </c>
      <c r="F25" s="2" t="s">
        <v>29</v>
      </c>
      <c r="G25" s="2" t="s">
        <v>75</v>
      </c>
      <c r="H25" s="2" t="s">
        <v>230</v>
      </c>
      <c r="I25" s="2" t="s">
        <v>100</v>
      </c>
      <c r="J25" s="2" t="s">
        <v>33</v>
      </c>
      <c r="K25" s="5" t="s">
        <v>221</v>
      </c>
      <c r="L25" s="2" t="b">
        <f t="shared" si="1"/>
        <v>1</v>
      </c>
    </row>
    <row r="26" ht="15.75" customHeight="1">
      <c r="A26" s="2" t="s">
        <v>233</v>
      </c>
      <c r="B26" s="2" t="s">
        <v>234</v>
      </c>
      <c r="C26" s="2" t="s">
        <v>236</v>
      </c>
      <c r="D26" s="2" t="s">
        <v>237</v>
      </c>
      <c r="E26" s="4" t="s">
        <v>238</v>
      </c>
      <c r="F26" s="2" t="s">
        <v>29</v>
      </c>
      <c r="G26" s="2" t="s">
        <v>66</v>
      </c>
      <c r="H26" s="2" t="s">
        <v>239</v>
      </c>
      <c r="I26" s="2" t="s">
        <v>100</v>
      </c>
      <c r="J26" s="2" t="s">
        <v>33</v>
      </c>
      <c r="K26" s="5" t="s">
        <v>240</v>
      </c>
      <c r="L26" s="2" t="b">
        <f t="shared" si="1"/>
        <v>1</v>
      </c>
    </row>
    <row r="27" ht="15.75" customHeight="1">
      <c r="A27" s="2" t="s">
        <v>241</v>
      </c>
      <c r="B27" s="2" t="s">
        <v>242</v>
      </c>
      <c r="C27" s="2" t="s">
        <v>243</v>
      </c>
      <c r="D27" s="2" t="s">
        <v>244</v>
      </c>
      <c r="E27" s="4" t="s">
        <v>245</v>
      </c>
      <c r="F27" s="2" t="s">
        <v>74</v>
      </c>
      <c r="G27" s="2" t="s">
        <v>75</v>
      </c>
      <c r="H27" s="2" t="s">
        <v>246</v>
      </c>
      <c r="I27" s="2" t="s">
        <v>91</v>
      </c>
      <c r="J27" s="2" t="s">
        <v>33</v>
      </c>
      <c r="K27" s="5" t="s">
        <v>247</v>
      </c>
      <c r="L27" s="2" t="b">
        <f t="shared" si="1"/>
        <v>1</v>
      </c>
    </row>
    <row r="28" ht="15.75" customHeight="1">
      <c r="A28" s="2" t="s">
        <v>248</v>
      </c>
      <c r="B28" s="2" t="s">
        <v>249</v>
      </c>
      <c r="C28" s="2" t="s">
        <v>251</v>
      </c>
      <c r="D28" s="2" t="s">
        <v>252</v>
      </c>
      <c r="E28" s="4" t="s">
        <v>253</v>
      </c>
      <c r="F28" s="2" t="s">
        <v>65</v>
      </c>
      <c r="G28" s="2" t="s">
        <v>75</v>
      </c>
      <c r="H28" s="2" t="s">
        <v>256</v>
      </c>
      <c r="I28" s="2" t="s">
        <v>68</v>
      </c>
      <c r="J28" s="2" t="s">
        <v>33</v>
      </c>
      <c r="K28" s="5" t="s">
        <v>247</v>
      </c>
      <c r="L28" s="2" t="b">
        <f t="shared" si="1"/>
        <v>1</v>
      </c>
    </row>
    <row r="29" ht="15.75" customHeight="1">
      <c r="A29" s="2" t="s">
        <v>263</v>
      </c>
      <c r="B29" s="2" t="s">
        <v>265</v>
      </c>
      <c r="C29" s="2" t="s">
        <v>266</v>
      </c>
      <c r="D29" s="2" t="s">
        <v>268</v>
      </c>
      <c r="E29" s="4" t="s">
        <v>269</v>
      </c>
      <c r="F29" s="2" t="s">
        <v>74</v>
      </c>
      <c r="G29" s="2" t="s">
        <v>127</v>
      </c>
      <c r="H29" s="2" t="s">
        <v>271</v>
      </c>
      <c r="I29" s="2" t="s">
        <v>77</v>
      </c>
      <c r="J29" s="2" t="s">
        <v>101</v>
      </c>
      <c r="K29" s="5" t="s">
        <v>274</v>
      </c>
      <c r="L29" s="2" t="b">
        <f t="shared" si="1"/>
        <v>1</v>
      </c>
    </row>
    <row r="30" ht="15.75" customHeight="1">
      <c r="A30" s="2" t="s">
        <v>278</v>
      </c>
      <c r="B30" s="2" t="s">
        <v>279</v>
      </c>
      <c r="C30" s="2" t="s">
        <v>280</v>
      </c>
      <c r="D30" s="2" t="s">
        <v>281</v>
      </c>
      <c r="E30" s="4" t="s">
        <v>283</v>
      </c>
      <c r="F30" s="2" t="s">
        <v>65</v>
      </c>
      <c r="G30" s="2" t="s">
        <v>66</v>
      </c>
      <c r="H30" s="2" t="s">
        <v>285</v>
      </c>
      <c r="I30" s="2" t="s">
        <v>129</v>
      </c>
      <c r="J30" s="2" t="s">
        <v>33</v>
      </c>
      <c r="K30" s="5" t="s">
        <v>274</v>
      </c>
      <c r="L30" s="2" t="b">
        <f t="shared" si="1"/>
        <v>1</v>
      </c>
    </row>
    <row r="31" ht="15.75" customHeight="1">
      <c r="A31" s="2" t="s">
        <v>289</v>
      </c>
      <c r="B31" s="2" t="s">
        <v>290</v>
      </c>
      <c r="C31" s="2" t="s">
        <v>291</v>
      </c>
      <c r="D31" s="2" t="s">
        <v>292</v>
      </c>
      <c r="E31" s="4" t="s">
        <v>294</v>
      </c>
      <c r="F31" s="2" t="s">
        <v>65</v>
      </c>
      <c r="G31" s="2" t="s">
        <v>30</v>
      </c>
      <c r="H31" s="2" t="s">
        <v>296</v>
      </c>
      <c r="I31" s="2" t="s">
        <v>68</v>
      </c>
      <c r="J31" s="2" t="s">
        <v>151</v>
      </c>
      <c r="K31" s="5" t="s">
        <v>299</v>
      </c>
      <c r="L31" s="2" t="b">
        <f t="shared" si="1"/>
        <v>1</v>
      </c>
    </row>
    <row r="32" ht="15.75" customHeight="1">
      <c r="A32" s="2" t="s">
        <v>301</v>
      </c>
      <c r="B32" s="2" t="s">
        <v>302</v>
      </c>
      <c r="C32" s="2" t="s">
        <v>187</v>
      </c>
      <c r="D32" s="2" t="s">
        <v>303</v>
      </c>
      <c r="E32" s="4" t="s">
        <v>304</v>
      </c>
      <c r="F32" s="2" t="s">
        <v>29</v>
      </c>
      <c r="G32" s="2" t="s">
        <v>98</v>
      </c>
      <c r="H32" s="2" t="s">
        <v>305</v>
      </c>
      <c r="I32" s="2" t="s">
        <v>100</v>
      </c>
      <c r="J32" s="2" t="s">
        <v>33</v>
      </c>
      <c r="K32" s="5" t="s">
        <v>299</v>
      </c>
      <c r="L32" s="2" t="b">
        <f t="shared" si="1"/>
        <v>1</v>
      </c>
    </row>
    <row r="33" ht="15.75" customHeight="1">
      <c r="A33" s="2" t="s">
        <v>306</v>
      </c>
      <c r="B33" s="2" t="s">
        <v>307</v>
      </c>
      <c r="C33" s="2" t="s">
        <v>308</v>
      </c>
      <c r="D33" s="2" t="s">
        <v>309</v>
      </c>
      <c r="E33" s="4" t="s">
        <v>310</v>
      </c>
      <c r="F33" s="2" t="s">
        <v>74</v>
      </c>
      <c r="G33" s="2" t="s">
        <v>205</v>
      </c>
      <c r="H33" s="2" t="s">
        <v>311</v>
      </c>
      <c r="I33" s="2" t="s">
        <v>77</v>
      </c>
      <c r="J33" s="2" t="s">
        <v>120</v>
      </c>
      <c r="K33" s="5" t="s">
        <v>312</v>
      </c>
      <c r="L33" s="2" t="b">
        <f t="shared" si="1"/>
        <v>1</v>
      </c>
    </row>
    <row r="34" ht="15.75" customHeight="1">
      <c r="A34" s="2" t="s">
        <v>313</v>
      </c>
      <c r="B34" s="2" t="s">
        <v>314</v>
      </c>
      <c r="C34" s="2" t="s">
        <v>315</v>
      </c>
      <c r="D34" s="2" t="s">
        <v>316</v>
      </c>
      <c r="E34" s="4" t="s">
        <v>317</v>
      </c>
      <c r="F34" s="2" t="s">
        <v>65</v>
      </c>
      <c r="G34" s="2" t="s">
        <v>127</v>
      </c>
      <c r="H34" s="2" t="s">
        <v>318</v>
      </c>
      <c r="I34" s="2" t="s">
        <v>68</v>
      </c>
      <c r="J34" s="2" t="s">
        <v>33</v>
      </c>
      <c r="K34" s="5" t="s">
        <v>319</v>
      </c>
      <c r="L34" s="2" t="b">
        <f t="shared" si="1"/>
        <v>1</v>
      </c>
    </row>
    <row r="35" ht="15.75" customHeight="1">
      <c r="A35" s="2" t="s">
        <v>320</v>
      </c>
      <c r="B35" s="2" t="s">
        <v>71</v>
      </c>
      <c r="C35" s="2" t="s">
        <v>321</v>
      </c>
      <c r="D35" s="2" t="s">
        <v>322</v>
      </c>
      <c r="E35" s="4" t="s">
        <v>323</v>
      </c>
      <c r="F35" s="2" t="s">
        <v>65</v>
      </c>
      <c r="G35" s="2" t="s">
        <v>127</v>
      </c>
      <c r="H35" s="2" t="s">
        <v>324</v>
      </c>
      <c r="I35" s="2" t="s">
        <v>129</v>
      </c>
      <c r="J35" s="2" t="s">
        <v>33</v>
      </c>
      <c r="K35" s="5" t="s">
        <v>325</v>
      </c>
      <c r="L35" s="2" t="b">
        <f t="shared" si="1"/>
        <v>1</v>
      </c>
    </row>
    <row r="36" ht="15.75" customHeight="1">
      <c r="A36" s="2" t="s">
        <v>326</v>
      </c>
      <c r="B36" s="2" t="s">
        <v>327</v>
      </c>
      <c r="C36" s="2" t="s">
        <v>71</v>
      </c>
      <c r="D36" s="2" t="s">
        <v>328</v>
      </c>
      <c r="E36" s="4" t="s">
        <v>329</v>
      </c>
      <c r="F36" s="2" t="s">
        <v>74</v>
      </c>
      <c r="G36" s="2" t="s">
        <v>127</v>
      </c>
      <c r="H36" s="2" t="s">
        <v>330</v>
      </c>
      <c r="I36" s="2" t="s">
        <v>91</v>
      </c>
      <c r="J36" s="2" t="s">
        <v>33</v>
      </c>
      <c r="K36" s="5" t="s">
        <v>331</v>
      </c>
      <c r="L36" s="2" t="b">
        <f t="shared" si="1"/>
        <v>1</v>
      </c>
    </row>
    <row r="37" ht="15.75" customHeight="1">
      <c r="A37" s="2" t="s">
        <v>332</v>
      </c>
      <c r="B37" s="2" t="s">
        <v>333</v>
      </c>
      <c r="C37" s="2" t="s">
        <v>334</v>
      </c>
      <c r="D37" s="2" t="s">
        <v>335</v>
      </c>
      <c r="E37" s="4" t="s">
        <v>336</v>
      </c>
      <c r="F37" s="2" t="s">
        <v>74</v>
      </c>
      <c r="G37" s="2" t="s">
        <v>75</v>
      </c>
      <c r="H37" s="2" t="s">
        <v>337</v>
      </c>
      <c r="I37" s="2" t="s">
        <v>77</v>
      </c>
      <c r="J37" s="2" t="s">
        <v>120</v>
      </c>
      <c r="K37" s="5" t="s">
        <v>338</v>
      </c>
      <c r="L37" s="2" t="b">
        <f t="shared" si="1"/>
        <v>1</v>
      </c>
    </row>
    <row r="38" ht="15.75" customHeight="1">
      <c r="A38" s="2" t="s">
        <v>339</v>
      </c>
      <c r="B38" s="2" t="s">
        <v>340</v>
      </c>
      <c r="C38" s="2" t="s">
        <v>341</v>
      </c>
      <c r="D38" s="2" t="s">
        <v>342</v>
      </c>
      <c r="E38" s="4" t="s">
        <v>343</v>
      </c>
      <c r="F38" s="2" t="s">
        <v>74</v>
      </c>
      <c r="G38" s="2" t="s">
        <v>30</v>
      </c>
      <c r="H38" s="2" t="s">
        <v>344</v>
      </c>
      <c r="I38" s="2" t="s">
        <v>91</v>
      </c>
      <c r="J38" s="2" t="s">
        <v>33</v>
      </c>
      <c r="K38" s="5" t="s">
        <v>345</v>
      </c>
      <c r="L38" s="2" t="b">
        <f t="shared" si="1"/>
        <v>1</v>
      </c>
    </row>
    <row r="39" ht="15.75" customHeight="1">
      <c r="A39" s="2" t="s">
        <v>346</v>
      </c>
      <c r="B39" s="2" t="s">
        <v>347</v>
      </c>
      <c r="C39" s="2" t="s">
        <v>348</v>
      </c>
      <c r="D39" s="2" t="s">
        <v>349</v>
      </c>
      <c r="E39" s="10" t="s">
        <v>350</v>
      </c>
      <c r="F39" s="2" t="s">
        <v>65</v>
      </c>
      <c r="G39" s="2" t="s">
        <v>98</v>
      </c>
      <c r="H39" s="2" t="s">
        <v>351</v>
      </c>
      <c r="I39" s="2" t="s">
        <v>129</v>
      </c>
      <c r="J39" s="2" t="s">
        <v>33</v>
      </c>
      <c r="K39" s="5" t="s">
        <v>352</v>
      </c>
      <c r="L39" s="2" t="b">
        <f t="shared" si="1"/>
        <v>1</v>
      </c>
    </row>
    <row r="40" ht="15.75" customHeight="1">
      <c r="A40" s="2" t="s">
        <v>353</v>
      </c>
      <c r="B40" s="2" t="s">
        <v>354</v>
      </c>
      <c r="C40" s="2" t="s">
        <v>355</v>
      </c>
      <c r="D40" s="2" t="s">
        <v>356</v>
      </c>
      <c r="E40" s="4" t="s">
        <v>357</v>
      </c>
      <c r="F40" s="2" t="s">
        <v>74</v>
      </c>
      <c r="G40" s="2" t="s">
        <v>205</v>
      </c>
      <c r="H40" s="2" t="s">
        <v>358</v>
      </c>
      <c r="I40" s="2" t="s">
        <v>91</v>
      </c>
      <c r="J40" s="2" t="s">
        <v>101</v>
      </c>
      <c r="K40" s="5" t="s">
        <v>359</v>
      </c>
      <c r="L40" s="2" t="b">
        <f t="shared" si="1"/>
        <v>1</v>
      </c>
    </row>
    <row r="41" ht="15.75" customHeight="1">
      <c r="A41" s="2" t="s">
        <v>360</v>
      </c>
      <c r="B41" s="2" t="s">
        <v>361</v>
      </c>
      <c r="C41" s="2" t="s">
        <v>362</v>
      </c>
      <c r="D41" s="2" t="s">
        <v>363</v>
      </c>
      <c r="E41" s="4" t="s">
        <v>364</v>
      </c>
      <c r="F41" s="2" t="s">
        <v>74</v>
      </c>
      <c r="G41" s="2" t="s">
        <v>30</v>
      </c>
      <c r="H41" s="2" t="s">
        <v>365</v>
      </c>
      <c r="I41" s="2" t="s">
        <v>91</v>
      </c>
      <c r="J41" s="2" t="s">
        <v>33</v>
      </c>
      <c r="K41" s="5" t="s">
        <v>366</v>
      </c>
      <c r="L41" s="2" t="b">
        <f t="shared" si="1"/>
        <v>1</v>
      </c>
    </row>
    <row r="42" ht="15.75" customHeight="1">
      <c r="A42" s="2" t="s">
        <v>367</v>
      </c>
      <c r="B42" s="2" t="s">
        <v>368</v>
      </c>
      <c r="C42" s="2" t="s">
        <v>369</v>
      </c>
      <c r="D42" s="2" t="s">
        <v>370</v>
      </c>
      <c r="E42" s="4" t="s">
        <v>371</v>
      </c>
      <c r="F42" s="2" t="s">
        <v>74</v>
      </c>
      <c r="G42" s="2" t="s">
        <v>75</v>
      </c>
      <c r="H42" s="2" t="s">
        <v>372</v>
      </c>
      <c r="I42" s="2" t="s">
        <v>91</v>
      </c>
      <c r="J42" s="2" t="s">
        <v>33</v>
      </c>
      <c r="K42" s="5" t="s">
        <v>373</v>
      </c>
      <c r="L42" s="2" t="b">
        <f t="shared" si="1"/>
        <v>1</v>
      </c>
    </row>
    <row r="43" ht="15.75" customHeight="1">
      <c r="A43" s="2" t="s">
        <v>374</v>
      </c>
      <c r="B43" s="2" t="s">
        <v>375</v>
      </c>
      <c r="C43" s="2" t="s">
        <v>376</v>
      </c>
      <c r="D43" s="2" t="s">
        <v>377</v>
      </c>
      <c r="E43" s="4" t="s">
        <v>378</v>
      </c>
      <c r="F43" s="2" t="s">
        <v>29</v>
      </c>
      <c r="G43" s="2" t="s">
        <v>66</v>
      </c>
      <c r="H43" s="2" t="s">
        <v>379</v>
      </c>
      <c r="I43" s="2" t="s">
        <v>100</v>
      </c>
      <c r="J43" s="2" t="s">
        <v>380</v>
      </c>
      <c r="K43" s="5" t="s">
        <v>381</v>
      </c>
      <c r="L43" s="2" t="b">
        <f t="shared" si="1"/>
        <v>1</v>
      </c>
    </row>
    <row r="44" ht="15.75" customHeight="1">
      <c r="A44" s="2" t="s">
        <v>382</v>
      </c>
      <c r="B44" s="2" t="s">
        <v>383</v>
      </c>
      <c r="C44" s="2" t="s">
        <v>384</v>
      </c>
      <c r="D44" s="2" t="s">
        <v>385</v>
      </c>
      <c r="E44" s="4" t="s">
        <v>386</v>
      </c>
      <c r="F44" s="2" t="s">
        <v>74</v>
      </c>
      <c r="G44" s="2" t="s">
        <v>66</v>
      </c>
      <c r="H44" s="2" t="s">
        <v>387</v>
      </c>
      <c r="I44" s="2" t="s">
        <v>77</v>
      </c>
      <c r="J44" s="2" t="s">
        <v>33</v>
      </c>
      <c r="K44" s="5" t="s">
        <v>381</v>
      </c>
      <c r="L44" s="2" t="b">
        <f t="shared" si="1"/>
        <v>1</v>
      </c>
    </row>
    <row r="45" ht="15.75" customHeight="1">
      <c r="A45" s="2" t="s">
        <v>388</v>
      </c>
      <c r="B45" s="2" t="s">
        <v>389</v>
      </c>
      <c r="C45" s="2" t="s">
        <v>71</v>
      </c>
      <c r="D45" s="2" t="s">
        <v>182</v>
      </c>
      <c r="E45" s="4" t="s">
        <v>390</v>
      </c>
      <c r="F45" s="2" t="s">
        <v>74</v>
      </c>
      <c r="G45" s="2" t="s">
        <v>30</v>
      </c>
      <c r="H45" s="2" t="s">
        <v>391</v>
      </c>
      <c r="I45" s="2" t="s">
        <v>77</v>
      </c>
      <c r="J45" s="2" t="s">
        <v>120</v>
      </c>
      <c r="K45" s="5" t="s">
        <v>392</v>
      </c>
      <c r="L45" s="2" t="b">
        <f t="shared" si="1"/>
        <v>1</v>
      </c>
    </row>
    <row r="46" ht="15.75" customHeight="1">
      <c r="A46" s="2" t="s">
        <v>393</v>
      </c>
      <c r="B46" s="2" t="s">
        <v>394</v>
      </c>
      <c r="C46" s="2" t="s">
        <v>181</v>
      </c>
      <c r="D46" s="2" t="s">
        <v>395</v>
      </c>
      <c r="E46" s="4" t="s">
        <v>396</v>
      </c>
      <c r="F46" s="2" t="s">
        <v>29</v>
      </c>
      <c r="G46" s="2" t="s">
        <v>127</v>
      </c>
      <c r="H46" s="2" t="s">
        <v>397</v>
      </c>
      <c r="I46" s="2" t="s">
        <v>100</v>
      </c>
      <c r="J46" s="2" t="s">
        <v>33</v>
      </c>
      <c r="K46" s="5" t="s">
        <v>398</v>
      </c>
      <c r="L46" s="2" t="b">
        <f t="shared" si="1"/>
        <v>1</v>
      </c>
    </row>
    <row r="47" ht="15.75" customHeight="1">
      <c r="A47" s="2" t="s">
        <v>399</v>
      </c>
      <c r="B47" s="2" t="s">
        <v>376</v>
      </c>
      <c r="C47" s="2" t="s">
        <v>400</v>
      </c>
      <c r="D47" s="2" t="s">
        <v>401</v>
      </c>
      <c r="E47" s="4" t="s">
        <v>402</v>
      </c>
      <c r="F47" s="2" t="s">
        <v>74</v>
      </c>
      <c r="G47" s="2" t="s">
        <v>66</v>
      </c>
      <c r="H47" s="2" t="s">
        <v>403</v>
      </c>
      <c r="I47" s="2" t="s">
        <v>77</v>
      </c>
      <c r="J47" s="2" t="s">
        <v>33</v>
      </c>
      <c r="K47" s="5" t="s">
        <v>404</v>
      </c>
      <c r="L47" s="2" t="b">
        <f t="shared" si="1"/>
        <v>1</v>
      </c>
    </row>
    <row r="48" ht="15.75" customHeight="1">
      <c r="A48" s="2" t="s">
        <v>405</v>
      </c>
      <c r="B48" s="2" t="s">
        <v>406</v>
      </c>
      <c r="C48" s="2" t="s">
        <v>87</v>
      </c>
      <c r="D48" s="2" t="s">
        <v>407</v>
      </c>
      <c r="E48" s="4" t="s">
        <v>408</v>
      </c>
      <c r="F48" s="2" t="s">
        <v>74</v>
      </c>
      <c r="G48" s="2" t="s">
        <v>98</v>
      </c>
      <c r="H48" s="2" t="s">
        <v>409</v>
      </c>
      <c r="I48" s="2" t="s">
        <v>91</v>
      </c>
      <c r="J48" s="2" t="s">
        <v>33</v>
      </c>
      <c r="K48" s="5" t="s">
        <v>404</v>
      </c>
      <c r="L48" s="2" t="b">
        <f t="shared" si="1"/>
        <v>1</v>
      </c>
    </row>
    <row r="49" ht="15.75" customHeight="1">
      <c r="A49" s="2" t="s">
        <v>410</v>
      </c>
      <c r="B49" s="2" t="s">
        <v>411</v>
      </c>
      <c r="C49" s="2" t="s">
        <v>412</v>
      </c>
      <c r="D49" s="2" t="s">
        <v>413</v>
      </c>
      <c r="E49" s="4" t="s">
        <v>414</v>
      </c>
      <c r="F49" s="2" t="s">
        <v>74</v>
      </c>
      <c r="G49" s="2" t="s">
        <v>205</v>
      </c>
      <c r="H49" s="2" t="s">
        <v>415</v>
      </c>
      <c r="I49" s="2" t="s">
        <v>91</v>
      </c>
      <c r="J49" s="2" t="s">
        <v>33</v>
      </c>
      <c r="K49" s="5" t="s">
        <v>416</v>
      </c>
      <c r="L49" s="2" t="b">
        <f t="shared" si="1"/>
        <v>1</v>
      </c>
    </row>
    <row r="50" ht="15.75" customHeight="1">
      <c r="A50" s="2" t="s">
        <v>417</v>
      </c>
      <c r="B50" s="2" t="s">
        <v>216</v>
      </c>
      <c r="C50" s="2" t="s">
        <v>418</v>
      </c>
      <c r="D50" s="2" t="s">
        <v>419</v>
      </c>
      <c r="E50" s="4" t="s">
        <v>420</v>
      </c>
      <c r="F50" s="2" t="s">
        <v>74</v>
      </c>
      <c r="G50" s="2" t="s">
        <v>205</v>
      </c>
      <c r="H50" s="2" t="s">
        <v>421</v>
      </c>
      <c r="I50" s="2" t="s">
        <v>77</v>
      </c>
      <c r="J50" s="2" t="s">
        <v>33</v>
      </c>
      <c r="K50" s="5" t="s">
        <v>422</v>
      </c>
      <c r="L50" s="2" t="b">
        <f t="shared" si="1"/>
        <v>1</v>
      </c>
    </row>
    <row r="51" ht="15.75" customHeight="1">
      <c r="A51" s="2" t="s">
        <v>423</v>
      </c>
      <c r="B51" s="2" t="s">
        <v>424</v>
      </c>
      <c r="C51" s="2" t="s">
        <v>425</v>
      </c>
      <c r="D51" s="2" t="s">
        <v>426</v>
      </c>
      <c r="E51" s="4" t="s">
        <v>427</v>
      </c>
      <c r="F51" s="2" t="s">
        <v>74</v>
      </c>
      <c r="G51" s="2" t="s">
        <v>98</v>
      </c>
      <c r="H51" s="2" t="s">
        <v>428</v>
      </c>
      <c r="I51" s="2" t="s">
        <v>91</v>
      </c>
      <c r="J51" s="2" t="s">
        <v>33</v>
      </c>
      <c r="K51" s="5">
        <v>46213.0</v>
      </c>
      <c r="L51" s="2" t="b">
        <f t="shared" si="1"/>
        <v>1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52">
    <sortState ref="A1:L52">
      <sortCondition ref="K1:K52"/>
    </sortState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51.29"/>
    <col customWidth="1" min="3" max="3" width="28.14"/>
    <col customWidth="1" min="4" max="26" width="8.71"/>
  </cols>
  <sheetData>
    <row r="1">
      <c r="A1" s="1" t="s">
        <v>35</v>
      </c>
      <c r="B1" s="1" t="s">
        <v>36</v>
      </c>
      <c r="C1" s="1" t="s">
        <v>37</v>
      </c>
    </row>
    <row r="2">
      <c r="A2" s="2" t="s">
        <v>38</v>
      </c>
      <c r="B2" s="2" t="s">
        <v>39</v>
      </c>
      <c r="C2" s="2" t="s">
        <v>40</v>
      </c>
    </row>
    <row r="3">
      <c r="A3" s="2" t="s">
        <v>41</v>
      </c>
      <c r="B3" s="2" t="s">
        <v>42</v>
      </c>
      <c r="C3" s="2" t="s">
        <v>43</v>
      </c>
    </row>
    <row r="4">
      <c r="A4" s="2" t="s">
        <v>44</v>
      </c>
      <c r="B4" s="2" t="s">
        <v>45</v>
      </c>
      <c r="C4" s="2" t="s">
        <v>46</v>
      </c>
    </row>
    <row r="5">
      <c r="A5" s="2" t="s">
        <v>44</v>
      </c>
      <c r="B5" s="2" t="s">
        <v>47</v>
      </c>
      <c r="C5" s="2" t="s">
        <v>48</v>
      </c>
    </row>
    <row r="6">
      <c r="A6" s="2" t="s">
        <v>44</v>
      </c>
      <c r="B6" s="2" t="s">
        <v>49</v>
      </c>
      <c r="C6" s="2" t="s">
        <v>50</v>
      </c>
    </row>
    <row r="7">
      <c r="A7" s="2" t="s">
        <v>51</v>
      </c>
      <c r="B7" s="2" t="s">
        <v>52</v>
      </c>
      <c r="C7" s="2" t="s">
        <v>53</v>
      </c>
    </row>
    <row r="8">
      <c r="A8" s="2" t="s">
        <v>54</v>
      </c>
      <c r="B8" s="2" t="s">
        <v>55</v>
      </c>
      <c r="C8" s="2" t="s">
        <v>56</v>
      </c>
    </row>
    <row r="9">
      <c r="A9" s="2" t="s">
        <v>57</v>
      </c>
      <c r="B9" s="2" t="s">
        <v>58</v>
      </c>
      <c r="C9" s="2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6" width="8.71"/>
  </cols>
  <sheetData>
    <row r="1">
      <c r="A1" s="1" t="s">
        <v>1</v>
      </c>
      <c r="B1" s="1" t="s">
        <v>4</v>
      </c>
    </row>
    <row r="2">
      <c r="A2" s="2" t="s">
        <v>7</v>
      </c>
      <c r="B2" s="2" t="s">
        <v>12</v>
      </c>
    </row>
    <row r="3">
      <c r="A3" s="2" t="s">
        <v>15</v>
      </c>
      <c r="B3" s="2" t="s">
        <v>16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24</v>
      </c>
      <c r="B6" s="2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" width="11.14"/>
    <col customWidth="1" min="3" max="3" width="12.57"/>
    <col customWidth="1" min="4" max="4" width="34.29"/>
    <col customWidth="1" min="5" max="5" width="18.14"/>
    <col customWidth="1" min="6" max="6" width="15.86"/>
    <col customWidth="1" min="7" max="7" width="10.71"/>
    <col customWidth="1" min="8" max="8" width="15.0"/>
    <col customWidth="1" min="9" max="9" width="20.86"/>
    <col customWidth="1" min="10" max="10" width="19.14"/>
    <col customWidth="1" min="11" max="11" width="18.57"/>
    <col customWidth="1" min="12" max="26" width="12.29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13</v>
      </c>
      <c r="K1" s="1" t="s">
        <v>14</v>
      </c>
      <c r="L1" s="3" t="s">
        <v>17</v>
      </c>
    </row>
    <row r="2">
      <c r="A2" s="2" t="s">
        <v>22</v>
      </c>
      <c r="B2" s="2" t="s">
        <v>23</v>
      </c>
      <c r="C2" s="2" t="s">
        <v>25</v>
      </c>
      <c r="D2" s="2" t="s">
        <v>26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6" t="s">
        <v>34</v>
      </c>
      <c r="L2" s="2" t="b">
        <f t="shared" ref="L2:L51" si="1">COUNTIF(H2:H51,H2)=1</f>
        <v>1</v>
      </c>
      <c r="M2" s="2" t="str">
        <f t="shared" ref="M2:M51" si="2">IF(OR(AND(F2="Small business",OR(I2="SME Plus",I2="SME Basic")),AND(F2="Residential",OR(I2="Residential Plus",I2="Residential Basic")),AND(F2="Commercial",OR(I2="Commercial Standard",I2="Commercial Premium"))),"Valid","Invalid")</f>
        <v>Valid</v>
      </c>
    </row>
    <row r="3">
      <c r="A3" s="2" t="s">
        <v>60</v>
      </c>
      <c r="B3" s="2" t="s">
        <v>61</v>
      </c>
      <c r="C3" s="2" t="s">
        <v>62</v>
      </c>
      <c r="D3" s="2" t="s">
        <v>63</v>
      </c>
      <c r="E3" s="2" t="s">
        <v>64</v>
      </c>
      <c r="F3" s="2" t="s">
        <v>65</v>
      </c>
      <c r="G3" s="2" t="s">
        <v>66</v>
      </c>
      <c r="H3" s="2" t="s">
        <v>67</v>
      </c>
      <c r="I3" s="2" t="s">
        <v>68</v>
      </c>
      <c r="J3" s="2" t="s">
        <v>33</v>
      </c>
      <c r="K3" s="6" t="s">
        <v>34</v>
      </c>
      <c r="L3" s="2" t="b">
        <f t="shared" si="1"/>
        <v>1</v>
      </c>
      <c r="M3" s="2" t="str">
        <f t="shared" si="2"/>
        <v>Valid</v>
      </c>
      <c r="N3" s="2" t="s">
        <v>273</v>
      </c>
    </row>
    <row r="4">
      <c r="A4" s="2" t="s">
        <v>69</v>
      </c>
      <c r="B4" s="2" t="s">
        <v>70</v>
      </c>
      <c r="C4" s="2" t="s">
        <v>71</v>
      </c>
      <c r="D4" s="2" t="s">
        <v>72</v>
      </c>
      <c r="E4" s="2" t="s">
        <v>73</v>
      </c>
      <c r="F4" s="2" t="s">
        <v>74</v>
      </c>
      <c r="G4" s="2" t="s">
        <v>75</v>
      </c>
      <c r="H4" s="2" t="s">
        <v>76</v>
      </c>
      <c r="I4" s="2" t="s">
        <v>77</v>
      </c>
      <c r="J4" s="2" t="s">
        <v>33</v>
      </c>
      <c r="K4" s="6" t="s">
        <v>34</v>
      </c>
      <c r="L4" s="2" t="b">
        <f t="shared" si="1"/>
        <v>1</v>
      </c>
      <c r="M4" s="2" t="str">
        <f t="shared" si="2"/>
        <v>Valid</v>
      </c>
    </row>
    <row r="5">
      <c r="A5" s="2" t="s">
        <v>78</v>
      </c>
      <c r="B5" s="2" t="s">
        <v>79</v>
      </c>
      <c r="C5" s="2" t="s">
        <v>80</v>
      </c>
      <c r="D5" s="2" t="s">
        <v>81</v>
      </c>
      <c r="E5" s="2" t="s">
        <v>82</v>
      </c>
      <c r="F5" s="2" t="s">
        <v>74</v>
      </c>
      <c r="G5" s="2" t="s">
        <v>66</v>
      </c>
      <c r="H5" s="2" t="s">
        <v>83</v>
      </c>
      <c r="I5" s="2" t="s">
        <v>77</v>
      </c>
      <c r="J5" s="2" t="s">
        <v>33</v>
      </c>
      <c r="K5" s="6" t="s">
        <v>84</v>
      </c>
      <c r="L5" s="2" t="b">
        <f t="shared" si="1"/>
        <v>1</v>
      </c>
      <c r="M5" s="2" t="str">
        <f t="shared" si="2"/>
        <v>Valid</v>
      </c>
    </row>
    <row r="6">
      <c r="A6" s="2" t="s">
        <v>85</v>
      </c>
      <c r="B6" s="2" t="s">
        <v>86</v>
      </c>
      <c r="C6" s="2" t="s">
        <v>87</v>
      </c>
      <c r="D6" s="2" t="s">
        <v>88</v>
      </c>
      <c r="E6" s="2" t="s">
        <v>89</v>
      </c>
      <c r="F6" s="2" t="s">
        <v>74</v>
      </c>
      <c r="G6" s="2" t="s">
        <v>66</v>
      </c>
      <c r="H6" s="2" t="s">
        <v>90</v>
      </c>
      <c r="I6" s="2" t="s">
        <v>91</v>
      </c>
      <c r="J6" s="2" t="s">
        <v>33</v>
      </c>
      <c r="K6" s="6" t="s">
        <v>92</v>
      </c>
      <c r="L6" s="2" t="b">
        <f t="shared" si="1"/>
        <v>1</v>
      </c>
      <c r="M6" s="2" t="str">
        <f t="shared" si="2"/>
        <v>Valid</v>
      </c>
    </row>
    <row r="7">
      <c r="A7" s="2" t="s">
        <v>93</v>
      </c>
      <c r="B7" s="2" t="s">
        <v>94</v>
      </c>
      <c r="C7" s="2" t="s">
        <v>95</v>
      </c>
      <c r="D7" s="2" t="s">
        <v>96</v>
      </c>
      <c r="E7" s="2" t="s">
        <v>97</v>
      </c>
      <c r="F7" s="2" t="s">
        <v>29</v>
      </c>
      <c r="G7" s="2" t="s">
        <v>98</v>
      </c>
      <c r="H7" s="2" t="s">
        <v>99</v>
      </c>
      <c r="I7" s="2" t="s">
        <v>100</v>
      </c>
      <c r="J7" s="2" t="s">
        <v>101</v>
      </c>
      <c r="K7" s="6" t="s">
        <v>102</v>
      </c>
      <c r="L7" s="2" t="b">
        <f t="shared" si="1"/>
        <v>1</v>
      </c>
      <c r="M7" s="2" t="str">
        <f t="shared" si="2"/>
        <v>Valid</v>
      </c>
    </row>
    <row r="8">
      <c r="A8" s="2" t="s">
        <v>103</v>
      </c>
      <c r="B8" s="2" t="s">
        <v>104</v>
      </c>
      <c r="C8" s="2" t="s">
        <v>71</v>
      </c>
      <c r="D8" s="2" t="s">
        <v>105</v>
      </c>
      <c r="E8" s="2" t="s">
        <v>106</v>
      </c>
      <c r="F8" s="2" t="s">
        <v>29</v>
      </c>
      <c r="G8" s="2" t="s">
        <v>75</v>
      </c>
      <c r="H8" s="2" t="s">
        <v>107</v>
      </c>
      <c r="I8" s="2" t="s">
        <v>100</v>
      </c>
      <c r="J8" s="2" t="s">
        <v>33</v>
      </c>
      <c r="K8" s="6" t="s">
        <v>102</v>
      </c>
      <c r="L8" s="2" t="b">
        <f t="shared" si="1"/>
        <v>1</v>
      </c>
      <c r="M8" s="2" t="str">
        <f t="shared" si="2"/>
        <v>Valid</v>
      </c>
    </row>
    <row r="9">
      <c r="A9" s="2" t="s">
        <v>108</v>
      </c>
      <c r="B9" s="2" t="s">
        <v>109</v>
      </c>
      <c r="C9" s="2" t="s">
        <v>110</v>
      </c>
      <c r="D9" s="2" t="s">
        <v>111</v>
      </c>
      <c r="E9" s="2" t="s">
        <v>112</v>
      </c>
      <c r="F9" s="2" t="s">
        <v>74</v>
      </c>
      <c r="G9" s="2" t="s">
        <v>30</v>
      </c>
      <c r="H9" s="2" t="s">
        <v>113</v>
      </c>
      <c r="I9" s="2" t="s">
        <v>77</v>
      </c>
      <c r="J9" s="2" t="s">
        <v>33</v>
      </c>
      <c r="K9" s="6" t="s">
        <v>114</v>
      </c>
      <c r="L9" s="2" t="b">
        <f t="shared" si="1"/>
        <v>1</v>
      </c>
      <c r="M9" s="2" t="str">
        <f t="shared" si="2"/>
        <v>Valid</v>
      </c>
    </row>
    <row r="10">
      <c r="A10" s="2" t="s">
        <v>115</v>
      </c>
      <c r="B10" s="2" t="s">
        <v>116</v>
      </c>
      <c r="C10" s="2" t="s">
        <v>110</v>
      </c>
      <c r="D10" s="2" t="s">
        <v>117</v>
      </c>
      <c r="E10" s="2" t="s">
        <v>118</v>
      </c>
      <c r="F10" s="2" t="s">
        <v>29</v>
      </c>
      <c r="G10" s="2" t="s">
        <v>75</v>
      </c>
      <c r="H10" s="2" t="s">
        <v>119</v>
      </c>
      <c r="I10" s="2" t="s">
        <v>100</v>
      </c>
      <c r="J10" s="2" t="s">
        <v>120</v>
      </c>
      <c r="K10" s="6" t="s">
        <v>121</v>
      </c>
      <c r="L10" s="2" t="b">
        <f t="shared" si="1"/>
        <v>1</v>
      </c>
      <c r="M10" s="2" t="str">
        <f t="shared" si="2"/>
        <v>Valid</v>
      </c>
    </row>
    <row r="11">
      <c r="A11" s="2" t="s">
        <v>122</v>
      </c>
      <c r="B11" s="2" t="s">
        <v>123</v>
      </c>
      <c r="C11" s="2" t="s">
        <v>124</v>
      </c>
      <c r="D11" s="2" t="s">
        <v>125</v>
      </c>
      <c r="E11" s="2" t="s">
        <v>126</v>
      </c>
      <c r="F11" s="2" t="s">
        <v>65</v>
      </c>
      <c r="G11" s="2" t="s">
        <v>127</v>
      </c>
      <c r="H11" s="2" t="s">
        <v>128</v>
      </c>
      <c r="I11" s="2" t="s">
        <v>129</v>
      </c>
      <c r="J11" s="2" t="s">
        <v>33</v>
      </c>
      <c r="K11" s="6" t="s">
        <v>130</v>
      </c>
      <c r="L11" s="2" t="b">
        <f t="shared" si="1"/>
        <v>1</v>
      </c>
      <c r="M11" s="2" t="str">
        <f t="shared" si="2"/>
        <v>Valid</v>
      </c>
    </row>
    <row r="12">
      <c r="A12" s="2" t="s">
        <v>131</v>
      </c>
      <c r="B12" s="2" t="s">
        <v>132</v>
      </c>
      <c r="C12" s="2" t="s">
        <v>133</v>
      </c>
      <c r="D12" s="2" t="s">
        <v>134</v>
      </c>
      <c r="E12" s="2" t="s">
        <v>135</v>
      </c>
      <c r="F12" s="2" t="s">
        <v>29</v>
      </c>
      <c r="G12" s="2" t="s">
        <v>98</v>
      </c>
      <c r="H12" s="2" t="s">
        <v>136</v>
      </c>
      <c r="I12" s="2" t="s">
        <v>32</v>
      </c>
      <c r="J12" s="2" t="s">
        <v>33</v>
      </c>
      <c r="K12" s="6" t="s">
        <v>137</v>
      </c>
      <c r="L12" s="2" t="b">
        <f t="shared" si="1"/>
        <v>1</v>
      </c>
      <c r="M12" s="2" t="str">
        <f t="shared" si="2"/>
        <v>Valid</v>
      </c>
    </row>
    <row r="13">
      <c r="A13" s="2" t="s">
        <v>138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29</v>
      </c>
      <c r="G13" s="2" t="s">
        <v>75</v>
      </c>
      <c r="H13" s="2" t="s">
        <v>143</v>
      </c>
      <c r="I13" s="2" t="s">
        <v>100</v>
      </c>
      <c r="J13" s="2" t="s">
        <v>33</v>
      </c>
      <c r="K13" s="6" t="s">
        <v>144</v>
      </c>
      <c r="L13" s="2" t="b">
        <f t="shared" si="1"/>
        <v>1</v>
      </c>
      <c r="M13" s="2" t="str">
        <f t="shared" si="2"/>
        <v>Valid</v>
      </c>
    </row>
    <row r="14">
      <c r="A14" s="2" t="s">
        <v>145</v>
      </c>
      <c r="B14" s="2" t="s">
        <v>146</v>
      </c>
      <c r="C14" s="2" t="s">
        <v>147</v>
      </c>
      <c r="D14" s="2" t="s">
        <v>148</v>
      </c>
      <c r="E14" s="2" t="s">
        <v>149</v>
      </c>
      <c r="F14" s="2" t="s">
        <v>65</v>
      </c>
      <c r="G14" s="2" t="s">
        <v>30</v>
      </c>
      <c r="H14" s="2" t="s">
        <v>150</v>
      </c>
      <c r="I14" s="2" t="s">
        <v>129</v>
      </c>
      <c r="J14" s="2" t="s">
        <v>151</v>
      </c>
      <c r="K14" s="6" t="s">
        <v>152</v>
      </c>
      <c r="L14" s="2" t="b">
        <f t="shared" si="1"/>
        <v>1</v>
      </c>
      <c r="M14" s="2" t="str">
        <f t="shared" si="2"/>
        <v>Valid</v>
      </c>
    </row>
    <row r="15">
      <c r="A15" s="2" t="s">
        <v>153</v>
      </c>
      <c r="B15" s="2" t="s">
        <v>154</v>
      </c>
      <c r="C15" s="2" t="s">
        <v>155</v>
      </c>
      <c r="D15" s="2" t="s">
        <v>156</v>
      </c>
      <c r="E15" s="2" t="s">
        <v>157</v>
      </c>
      <c r="F15" s="2" t="s">
        <v>29</v>
      </c>
      <c r="G15" s="2" t="s">
        <v>66</v>
      </c>
      <c r="H15" s="2" t="s">
        <v>158</v>
      </c>
      <c r="I15" s="2" t="s">
        <v>100</v>
      </c>
      <c r="J15" s="2" t="s">
        <v>33</v>
      </c>
      <c r="K15" s="6" t="s">
        <v>159</v>
      </c>
      <c r="L15" s="2" t="b">
        <f t="shared" si="1"/>
        <v>1</v>
      </c>
      <c r="M15" s="2" t="str">
        <f t="shared" si="2"/>
        <v>Valid</v>
      </c>
    </row>
    <row r="16">
      <c r="A16" s="2" t="s">
        <v>160</v>
      </c>
      <c r="B16" s="2" t="s">
        <v>161</v>
      </c>
      <c r="C16" s="2" t="s">
        <v>162</v>
      </c>
      <c r="D16" s="2" t="s">
        <v>163</v>
      </c>
      <c r="E16" s="2" t="s">
        <v>164</v>
      </c>
      <c r="F16" s="2" t="s">
        <v>29</v>
      </c>
      <c r="G16" s="2" t="s">
        <v>66</v>
      </c>
      <c r="H16" s="2" t="s">
        <v>165</v>
      </c>
      <c r="I16" s="2" t="s">
        <v>32</v>
      </c>
      <c r="J16" s="2" t="s">
        <v>33</v>
      </c>
      <c r="K16" s="6" t="s">
        <v>159</v>
      </c>
      <c r="L16" s="2" t="b">
        <f t="shared" si="1"/>
        <v>1</v>
      </c>
      <c r="M16" s="2" t="str">
        <f t="shared" si="2"/>
        <v>Valid</v>
      </c>
    </row>
    <row r="17">
      <c r="A17" s="2" t="s">
        <v>166</v>
      </c>
      <c r="B17" s="2" t="s">
        <v>167</v>
      </c>
      <c r="C17" s="2" t="s">
        <v>168</v>
      </c>
      <c r="D17" s="2" t="s">
        <v>169</v>
      </c>
      <c r="E17" s="2" t="s">
        <v>170</v>
      </c>
      <c r="F17" s="2" t="s">
        <v>29</v>
      </c>
      <c r="G17" s="2" t="s">
        <v>66</v>
      </c>
      <c r="H17" s="2" t="s">
        <v>171</v>
      </c>
      <c r="I17" s="2" t="s">
        <v>100</v>
      </c>
      <c r="J17" s="2" t="s">
        <v>33</v>
      </c>
      <c r="K17" s="6" t="s">
        <v>172</v>
      </c>
      <c r="L17" s="2" t="b">
        <f t="shared" si="1"/>
        <v>1</v>
      </c>
      <c r="M17" s="2" t="str">
        <f t="shared" si="2"/>
        <v>Valid</v>
      </c>
    </row>
    <row r="18">
      <c r="A18" s="2" t="s">
        <v>173</v>
      </c>
      <c r="B18" s="2" t="s">
        <v>87</v>
      </c>
      <c r="C18" s="2" t="s">
        <v>174</v>
      </c>
      <c r="D18" s="2" t="s">
        <v>175</v>
      </c>
      <c r="E18" s="2" t="s">
        <v>176</v>
      </c>
      <c r="F18" s="2" t="s">
        <v>74</v>
      </c>
      <c r="G18" s="2" t="s">
        <v>98</v>
      </c>
      <c r="H18" s="2" t="s">
        <v>177</v>
      </c>
      <c r="I18" s="2" t="s">
        <v>91</v>
      </c>
      <c r="J18" s="2" t="s">
        <v>33</v>
      </c>
      <c r="K18" s="6" t="s">
        <v>178</v>
      </c>
      <c r="L18" s="2" t="b">
        <f t="shared" si="1"/>
        <v>1</v>
      </c>
      <c r="M18" s="2" t="str">
        <f t="shared" si="2"/>
        <v>Valid</v>
      </c>
    </row>
    <row r="19">
      <c r="A19" s="2" t="s">
        <v>179</v>
      </c>
      <c r="B19" s="2" t="s">
        <v>180</v>
      </c>
      <c r="C19" s="2" t="s">
        <v>181</v>
      </c>
      <c r="D19" s="2" t="s">
        <v>182</v>
      </c>
      <c r="E19" s="2" t="s">
        <v>183</v>
      </c>
      <c r="F19" s="2" t="s">
        <v>74</v>
      </c>
      <c r="G19" s="2" t="s">
        <v>127</v>
      </c>
      <c r="H19" s="2" t="s">
        <v>184</v>
      </c>
      <c r="I19" s="2" t="s">
        <v>91</v>
      </c>
      <c r="J19" s="2" t="s">
        <v>33</v>
      </c>
      <c r="K19" s="6" t="s">
        <v>185</v>
      </c>
      <c r="L19" s="2" t="b">
        <f t="shared" si="1"/>
        <v>1</v>
      </c>
      <c r="M19" s="2" t="str">
        <f t="shared" si="2"/>
        <v>Valid</v>
      </c>
    </row>
    <row r="20">
      <c r="A20" s="2" t="s">
        <v>186</v>
      </c>
      <c r="B20" s="2" t="s">
        <v>187</v>
      </c>
      <c r="C20" s="2" t="s">
        <v>188</v>
      </c>
      <c r="D20" s="2" t="s">
        <v>189</v>
      </c>
      <c r="E20" s="2" t="s">
        <v>190</v>
      </c>
      <c r="F20" s="2" t="s">
        <v>65</v>
      </c>
      <c r="G20" s="2" t="s">
        <v>66</v>
      </c>
      <c r="H20" s="2" t="s">
        <v>191</v>
      </c>
      <c r="I20" s="2" t="s">
        <v>68</v>
      </c>
      <c r="J20" s="2" t="s">
        <v>33</v>
      </c>
      <c r="K20" s="6" t="s">
        <v>192</v>
      </c>
      <c r="L20" s="2" t="b">
        <f t="shared" si="1"/>
        <v>1</v>
      </c>
      <c r="M20" s="2" t="str">
        <f t="shared" si="2"/>
        <v>Valid</v>
      </c>
    </row>
    <row r="21" ht="15.75" customHeight="1">
      <c r="A21" s="2" t="s">
        <v>193</v>
      </c>
      <c r="B21" s="2" t="s">
        <v>194</v>
      </c>
      <c r="C21" s="2" t="s">
        <v>195</v>
      </c>
      <c r="D21" s="2" t="s">
        <v>196</v>
      </c>
      <c r="E21" s="2" t="s">
        <v>197</v>
      </c>
      <c r="F21" s="2" t="s">
        <v>74</v>
      </c>
      <c r="G21" s="2" t="s">
        <v>127</v>
      </c>
      <c r="H21" s="2" t="s">
        <v>198</v>
      </c>
      <c r="I21" s="2" t="s">
        <v>91</v>
      </c>
      <c r="J21" s="2" t="s">
        <v>120</v>
      </c>
      <c r="K21" s="6" t="s">
        <v>199</v>
      </c>
      <c r="L21" s="2" t="b">
        <f t="shared" si="1"/>
        <v>1</v>
      </c>
      <c r="M21" s="2" t="str">
        <f t="shared" si="2"/>
        <v>Valid</v>
      </c>
    </row>
    <row r="22" ht="15.75" customHeight="1">
      <c r="A22" s="2" t="s">
        <v>200</v>
      </c>
      <c r="B22" s="2" t="s">
        <v>201</v>
      </c>
      <c r="C22" s="2" t="s">
        <v>202</v>
      </c>
      <c r="D22" s="2" t="s">
        <v>203</v>
      </c>
      <c r="E22" s="2" t="s">
        <v>204</v>
      </c>
      <c r="F22" s="2" t="s">
        <v>29</v>
      </c>
      <c r="G22" s="2" t="s">
        <v>205</v>
      </c>
      <c r="H22" s="2" t="s">
        <v>206</v>
      </c>
      <c r="I22" s="2" t="s">
        <v>100</v>
      </c>
      <c r="J22" s="2" t="s">
        <v>151</v>
      </c>
      <c r="K22" s="6" t="s">
        <v>199</v>
      </c>
      <c r="L22" s="2" t="b">
        <f t="shared" si="1"/>
        <v>1</v>
      </c>
      <c r="M22" s="2" t="str">
        <f t="shared" si="2"/>
        <v>Valid</v>
      </c>
    </row>
    <row r="23" ht="15.75" customHeight="1">
      <c r="A23" s="2" t="s">
        <v>207</v>
      </c>
      <c r="B23" s="2" t="s">
        <v>208</v>
      </c>
      <c r="C23" s="2" t="s">
        <v>209</v>
      </c>
      <c r="D23" s="2" t="s">
        <v>210</v>
      </c>
      <c r="E23" s="2" t="s">
        <v>211</v>
      </c>
      <c r="F23" s="2" t="s">
        <v>74</v>
      </c>
      <c r="G23" s="2" t="s">
        <v>205</v>
      </c>
      <c r="H23" s="2" t="s">
        <v>212</v>
      </c>
      <c r="I23" s="2" t="s">
        <v>91</v>
      </c>
      <c r="J23" s="2" t="s">
        <v>33</v>
      </c>
      <c r="K23" s="6" t="s">
        <v>213</v>
      </c>
      <c r="L23" s="2" t="b">
        <f t="shared" si="1"/>
        <v>1</v>
      </c>
      <c r="M23" s="2" t="str">
        <f t="shared" si="2"/>
        <v>Valid</v>
      </c>
    </row>
    <row r="24" ht="15.75" customHeight="1">
      <c r="A24" s="2" t="s">
        <v>214</v>
      </c>
      <c r="B24" s="2" t="s">
        <v>215</v>
      </c>
      <c r="C24" s="2" t="s">
        <v>216</v>
      </c>
      <c r="D24" s="2" t="s">
        <v>217</v>
      </c>
      <c r="E24" s="2" t="s">
        <v>218</v>
      </c>
      <c r="F24" s="2" t="s">
        <v>74</v>
      </c>
      <c r="G24" s="2" t="s">
        <v>66</v>
      </c>
      <c r="H24" s="2" t="s">
        <v>220</v>
      </c>
      <c r="I24" s="2" t="s">
        <v>77</v>
      </c>
      <c r="J24" s="2" t="s">
        <v>33</v>
      </c>
      <c r="K24" s="6" t="s">
        <v>221</v>
      </c>
      <c r="L24" s="2" t="b">
        <f t="shared" si="1"/>
        <v>1</v>
      </c>
      <c r="M24" s="2" t="str">
        <f t="shared" si="2"/>
        <v>Valid</v>
      </c>
    </row>
    <row r="25" ht="15.75" customHeight="1">
      <c r="A25" s="2" t="s">
        <v>222</v>
      </c>
      <c r="B25" s="2" t="s">
        <v>223</v>
      </c>
      <c r="C25" s="2" t="s">
        <v>225</v>
      </c>
      <c r="D25" s="2" t="s">
        <v>226</v>
      </c>
      <c r="E25" s="2" t="s">
        <v>228</v>
      </c>
      <c r="F25" s="2" t="s">
        <v>29</v>
      </c>
      <c r="G25" s="2" t="s">
        <v>75</v>
      </c>
      <c r="H25" s="2" t="s">
        <v>230</v>
      </c>
      <c r="I25" s="2" t="s">
        <v>100</v>
      </c>
      <c r="J25" s="2" t="s">
        <v>33</v>
      </c>
      <c r="K25" s="6" t="s">
        <v>221</v>
      </c>
      <c r="L25" s="2" t="b">
        <f t="shared" si="1"/>
        <v>1</v>
      </c>
      <c r="M25" s="2" t="str">
        <f t="shared" si="2"/>
        <v>Valid</v>
      </c>
    </row>
    <row r="26" ht="15.75" customHeight="1">
      <c r="A26" s="2" t="s">
        <v>233</v>
      </c>
      <c r="B26" s="2" t="s">
        <v>234</v>
      </c>
      <c r="C26" s="2" t="s">
        <v>236</v>
      </c>
      <c r="D26" s="2" t="s">
        <v>237</v>
      </c>
      <c r="E26" s="2" t="s">
        <v>238</v>
      </c>
      <c r="F26" s="2" t="s">
        <v>29</v>
      </c>
      <c r="G26" s="2" t="s">
        <v>429</v>
      </c>
      <c r="H26" s="2" t="s">
        <v>239</v>
      </c>
      <c r="I26" s="2" t="s">
        <v>100</v>
      </c>
      <c r="J26" s="2" t="s">
        <v>33</v>
      </c>
      <c r="K26" s="6" t="s">
        <v>240</v>
      </c>
      <c r="L26" s="2" t="b">
        <f t="shared" si="1"/>
        <v>1</v>
      </c>
      <c r="M26" s="2" t="str">
        <f t="shared" si="2"/>
        <v>Valid</v>
      </c>
    </row>
    <row r="27" ht="15.75" customHeight="1">
      <c r="A27" s="2" t="s">
        <v>241</v>
      </c>
      <c r="B27" s="2" t="s">
        <v>242</v>
      </c>
      <c r="C27" s="2" t="s">
        <v>243</v>
      </c>
      <c r="D27" s="2" t="s">
        <v>244</v>
      </c>
      <c r="E27" s="2" t="s">
        <v>245</v>
      </c>
      <c r="F27" s="2" t="s">
        <v>74</v>
      </c>
      <c r="G27" s="2" t="s">
        <v>75</v>
      </c>
      <c r="H27" s="2" t="s">
        <v>246</v>
      </c>
      <c r="I27" s="2" t="s">
        <v>91</v>
      </c>
      <c r="J27" s="2" t="s">
        <v>33</v>
      </c>
      <c r="K27" s="6" t="s">
        <v>247</v>
      </c>
      <c r="L27" s="2" t="b">
        <f t="shared" si="1"/>
        <v>1</v>
      </c>
      <c r="M27" s="2" t="str">
        <f t="shared" si="2"/>
        <v>Valid</v>
      </c>
    </row>
    <row r="28" ht="15.75" customHeight="1">
      <c r="A28" s="2" t="s">
        <v>248</v>
      </c>
      <c r="B28" s="2" t="s">
        <v>249</v>
      </c>
      <c r="C28" s="2" t="s">
        <v>251</v>
      </c>
      <c r="D28" s="2" t="s">
        <v>252</v>
      </c>
      <c r="E28" s="2" t="s">
        <v>253</v>
      </c>
      <c r="F28" s="2" t="s">
        <v>65</v>
      </c>
      <c r="G28" s="2" t="s">
        <v>75</v>
      </c>
      <c r="H28" s="2" t="s">
        <v>256</v>
      </c>
      <c r="I28" s="2" t="s">
        <v>68</v>
      </c>
      <c r="J28" s="2" t="s">
        <v>33</v>
      </c>
      <c r="K28" s="6" t="s">
        <v>247</v>
      </c>
      <c r="L28" s="2" t="b">
        <f t="shared" si="1"/>
        <v>1</v>
      </c>
      <c r="M28" s="2" t="str">
        <f t="shared" si="2"/>
        <v>Valid</v>
      </c>
    </row>
    <row r="29" ht="15.75" customHeight="1">
      <c r="A29" s="2" t="s">
        <v>263</v>
      </c>
      <c r="B29" s="2" t="s">
        <v>265</v>
      </c>
      <c r="C29" s="2" t="s">
        <v>266</v>
      </c>
      <c r="D29" s="2" t="s">
        <v>268</v>
      </c>
      <c r="E29" s="2" t="s">
        <v>269</v>
      </c>
      <c r="F29" s="2" t="s">
        <v>74</v>
      </c>
      <c r="G29" s="2" t="s">
        <v>127</v>
      </c>
      <c r="H29" s="2" t="s">
        <v>271</v>
      </c>
      <c r="I29" s="2" t="s">
        <v>77</v>
      </c>
      <c r="J29" s="2" t="s">
        <v>101</v>
      </c>
      <c r="K29" s="6" t="s">
        <v>274</v>
      </c>
      <c r="L29" s="2" t="b">
        <f t="shared" si="1"/>
        <v>1</v>
      </c>
      <c r="M29" s="2" t="str">
        <f t="shared" si="2"/>
        <v>Valid</v>
      </c>
    </row>
    <row r="30" ht="15.75" customHeight="1">
      <c r="A30" s="2" t="s">
        <v>278</v>
      </c>
      <c r="B30" s="2" t="s">
        <v>279</v>
      </c>
      <c r="C30" s="2" t="s">
        <v>280</v>
      </c>
      <c r="D30" s="2" t="s">
        <v>281</v>
      </c>
      <c r="E30" s="2" t="s">
        <v>283</v>
      </c>
      <c r="F30" s="2" t="s">
        <v>65</v>
      </c>
      <c r="G30" s="2" t="s">
        <v>66</v>
      </c>
      <c r="H30" s="2" t="s">
        <v>285</v>
      </c>
      <c r="I30" s="2" t="s">
        <v>129</v>
      </c>
      <c r="J30" s="2" t="s">
        <v>33</v>
      </c>
      <c r="K30" s="6" t="s">
        <v>274</v>
      </c>
      <c r="L30" s="2" t="b">
        <f t="shared" si="1"/>
        <v>1</v>
      </c>
      <c r="M30" s="2" t="str">
        <f t="shared" si="2"/>
        <v>Valid</v>
      </c>
    </row>
    <row r="31" ht="15.75" customHeight="1">
      <c r="A31" s="2" t="s">
        <v>289</v>
      </c>
      <c r="B31" s="2" t="s">
        <v>290</v>
      </c>
      <c r="C31" s="2" t="s">
        <v>291</v>
      </c>
      <c r="D31" s="2" t="s">
        <v>292</v>
      </c>
      <c r="E31" s="2" t="s">
        <v>294</v>
      </c>
      <c r="F31" s="2" t="s">
        <v>65</v>
      </c>
      <c r="G31" s="2" t="s">
        <v>30</v>
      </c>
      <c r="H31" s="2" t="s">
        <v>296</v>
      </c>
      <c r="I31" s="2" t="s">
        <v>77</v>
      </c>
      <c r="J31" s="2" t="s">
        <v>151</v>
      </c>
      <c r="K31" s="6" t="s">
        <v>299</v>
      </c>
      <c r="L31" s="2" t="b">
        <f t="shared" si="1"/>
        <v>1</v>
      </c>
      <c r="M31" s="2" t="str">
        <f t="shared" si="2"/>
        <v>Invalid</v>
      </c>
    </row>
    <row r="32" ht="15.75" customHeight="1">
      <c r="A32" s="2" t="s">
        <v>301</v>
      </c>
      <c r="B32" s="2" t="s">
        <v>302</v>
      </c>
      <c r="C32" s="2" t="s">
        <v>187</v>
      </c>
      <c r="D32" s="2" t="s">
        <v>303</v>
      </c>
      <c r="E32" s="2" t="s">
        <v>304</v>
      </c>
      <c r="F32" s="2" t="s">
        <v>29</v>
      </c>
      <c r="G32" s="2" t="s">
        <v>98</v>
      </c>
      <c r="H32" s="2" t="s">
        <v>305</v>
      </c>
      <c r="I32" s="2" t="s">
        <v>100</v>
      </c>
      <c r="J32" s="2" t="s">
        <v>33</v>
      </c>
      <c r="K32" s="6" t="s">
        <v>299</v>
      </c>
      <c r="L32" s="2" t="b">
        <f t="shared" si="1"/>
        <v>1</v>
      </c>
      <c r="M32" s="2" t="str">
        <f t="shared" si="2"/>
        <v>Valid</v>
      </c>
    </row>
    <row r="33" ht="15.75" customHeight="1">
      <c r="A33" s="2" t="s">
        <v>306</v>
      </c>
      <c r="B33" s="2" t="s">
        <v>307</v>
      </c>
      <c r="C33" s="2" t="s">
        <v>308</v>
      </c>
      <c r="D33" s="2" t="s">
        <v>309</v>
      </c>
      <c r="E33" s="2" t="s">
        <v>310</v>
      </c>
      <c r="F33" s="2" t="s">
        <v>74</v>
      </c>
      <c r="G33" s="2" t="s">
        <v>205</v>
      </c>
      <c r="H33" s="2" t="s">
        <v>311</v>
      </c>
      <c r="I33" s="2" t="s">
        <v>77</v>
      </c>
      <c r="J33" s="2" t="s">
        <v>120</v>
      </c>
      <c r="K33" s="6" t="s">
        <v>312</v>
      </c>
      <c r="L33" s="2" t="b">
        <f t="shared" si="1"/>
        <v>1</v>
      </c>
      <c r="M33" s="2" t="str">
        <f t="shared" si="2"/>
        <v>Valid</v>
      </c>
    </row>
    <row r="34" ht="15.75" customHeight="1">
      <c r="A34" s="2" t="s">
        <v>313</v>
      </c>
      <c r="B34" s="2" t="s">
        <v>314</v>
      </c>
      <c r="C34" s="2" t="s">
        <v>315</v>
      </c>
      <c r="D34" s="2" t="s">
        <v>316</v>
      </c>
      <c r="E34" s="2" t="s">
        <v>317</v>
      </c>
      <c r="F34" s="2" t="s">
        <v>65</v>
      </c>
      <c r="G34" s="2" t="s">
        <v>127</v>
      </c>
      <c r="H34" s="2" t="s">
        <v>318</v>
      </c>
      <c r="I34" s="2" t="s">
        <v>68</v>
      </c>
      <c r="J34" s="2" t="s">
        <v>33</v>
      </c>
      <c r="K34" s="6" t="s">
        <v>319</v>
      </c>
      <c r="L34" s="2" t="b">
        <f t="shared" si="1"/>
        <v>1</v>
      </c>
      <c r="M34" s="2" t="str">
        <f t="shared" si="2"/>
        <v>Valid</v>
      </c>
    </row>
    <row r="35" ht="15.75" customHeight="1">
      <c r="A35" s="2" t="s">
        <v>320</v>
      </c>
      <c r="B35" s="2" t="s">
        <v>71</v>
      </c>
      <c r="C35" s="2" t="s">
        <v>321</v>
      </c>
      <c r="D35" s="2" t="s">
        <v>322</v>
      </c>
      <c r="E35" s="2" t="s">
        <v>323</v>
      </c>
      <c r="F35" s="2" t="s">
        <v>65</v>
      </c>
      <c r="G35" s="2" t="s">
        <v>127</v>
      </c>
      <c r="H35" s="2" t="s">
        <v>324</v>
      </c>
      <c r="I35" s="2" t="s">
        <v>129</v>
      </c>
      <c r="J35" s="2" t="s">
        <v>33</v>
      </c>
      <c r="K35" s="6" t="s">
        <v>325</v>
      </c>
      <c r="L35" s="2" t="b">
        <f t="shared" si="1"/>
        <v>1</v>
      </c>
      <c r="M35" s="2" t="str">
        <f t="shared" si="2"/>
        <v>Valid</v>
      </c>
    </row>
    <row r="36" ht="15.75" customHeight="1">
      <c r="A36" s="2" t="s">
        <v>326</v>
      </c>
      <c r="B36" s="2" t="s">
        <v>327</v>
      </c>
      <c r="C36" s="2" t="s">
        <v>71</v>
      </c>
      <c r="D36" s="2" t="s">
        <v>328</v>
      </c>
      <c r="E36" s="2" t="s">
        <v>329</v>
      </c>
      <c r="F36" s="2" t="s">
        <v>74</v>
      </c>
      <c r="G36" s="2" t="s">
        <v>127</v>
      </c>
      <c r="H36" s="2" t="s">
        <v>330</v>
      </c>
      <c r="I36" s="2" t="s">
        <v>91</v>
      </c>
      <c r="J36" s="2" t="s">
        <v>33</v>
      </c>
      <c r="K36" s="6" t="s">
        <v>331</v>
      </c>
      <c r="L36" s="2" t="b">
        <f t="shared" si="1"/>
        <v>1</v>
      </c>
      <c r="M36" s="2" t="str">
        <f t="shared" si="2"/>
        <v>Valid</v>
      </c>
    </row>
    <row r="37" ht="15.75" customHeight="1">
      <c r="A37" s="2" t="s">
        <v>332</v>
      </c>
      <c r="B37" s="2" t="s">
        <v>333</v>
      </c>
      <c r="C37" s="2" t="s">
        <v>334</v>
      </c>
      <c r="D37" s="2" t="s">
        <v>335</v>
      </c>
      <c r="E37" s="2" t="s">
        <v>336</v>
      </c>
      <c r="F37" s="2" t="s">
        <v>74</v>
      </c>
      <c r="G37" s="2" t="s">
        <v>75</v>
      </c>
      <c r="H37" s="2" t="s">
        <v>337</v>
      </c>
      <c r="I37" s="2" t="s">
        <v>77</v>
      </c>
      <c r="J37" s="2" t="s">
        <v>120</v>
      </c>
      <c r="K37" s="6" t="s">
        <v>338</v>
      </c>
      <c r="L37" s="2" t="b">
        <f t="shared" si="1"/>
        <v>1</v>
      </c>
      <c r="M37" s="2" t="str">
        <f t="shared" si="2"/>
        <v>Valid</v>
      </c>
    </row>
    <row r="38" ht="15.75" customHeight="1">
      <c r="A38" s="2" t="s">
        <v>339</v>
      </c>
      <c r="B38" s="2" t="s">
        <v>340</v>
      </c>
      <c r="C38" s="2" t="s">
        <v>341</v>
      </c>
      <c r="D38" s="2" t="s">
        <v>342</v>
      </c>
      <c r="E38" s="2" t="s">
        <v>343</v>
      </c>
      <c r="F38" s="2" t="s">
        <v>74</v>
      </c>
      <c r="G38" s="2" t="s">
        <v>30</v>
      </c>
      <c r="H38" s="2" t="s">
        <v>344</v>
      </c>
      <c r="I38" s="2" t="s">
        <v>91</v>
      </c>
      <c r="J38" s="2" t="s">
        <v>33</v>
      </c>
      <c r="K38" s="6" t="s">
        <v>345</v>
      </c>
      <c r="L38" s="2" t="b">
        <f t="shared" si="1"/>
        <v>1</v>
      </c>
      <c r="M38" s="2" t="str">
        <f t="shared" si="2"/>
        <v>Valid</v>
      </c>
    </row>
    <row r="39" ht="15.75" customHeight="1">
      <c r="A39" s="2" t="s">
        <v>346</v>
      </c>
      <c r="B39" s="2" t="s">
        <v>347</v>
      </c>
      <c r="C39" s="2" t="s">
        <v>348</v>
      </c>
      <c r="D39" s="2" t="s">
        <v>349</v>
      </c>
      <c r="F39" s="2" t="s">
        <v>65</v>
      </c>
      <c r="G39" s="2" t="s">
        <v>98</v>
      </c>
      <c r="H39" s="2" t="s">
        <v>351</v>
      </c>
      <c r="I39" s="2" t="s">
        <v>129</v>
      </c>
      <c r="J39" s="2" t="s">
        <v>33</v>
      </c>
      <c r="K39" s="6" t="s">
        <v>352</v>
      </c>
      <c r="L39" s="2" t="b">
        <f t="shared" si="1"/>
        <v>1</v>
      </c>
      <c r="M39" s="2" t="str">
        <f t="shared" si="2"/>
        <v>Valid</v>
      </c>
    </row>
    <row r="40" ht="15.75" customHeight="1">
      <c r="A40" s="2" t="s">
        <v>353</v>
      </c>
      <c r="B40" s="2" t="s">
        <v>354</v>
      </c>
      <c r="C40" s="2" t="s">
        <v>355</v>
      </c>
      <c r="D40" s="2" t="s">
        <v>356</v>
      </c>
      <c r="E40" s="2" t="s">
        <v>357</v>
      </c>
      <c r="F40" s="2" t="s">
        <v>74</v>
      </c>
      <c r="G40" s="2" t="s">
        <v>205</v>
      </c>
      <c r="H40" s="2" t="s">
        <v>358</v>
      </c>
      <c r="I40" s="2" t="s">
        <v>91</v>
      </c>
      <c r="J40" s="2" t="s">
        <v>101</v>
      </c>
      <c r="K40" s="6" t="s">
        <v>359</v>
      </c>
      <c r="L40" s="2" t="b">
        <f t="shared" si="1"/>
        <v>1</v>
      </c>
      <c r="M40" s="2" t="str">
        <f t="shared" si="2"/>
        <v>Valid</v>
      </c>
    </row>
    <row r="41" ht="15.75" customHeight="1">
      <c r="A41" s="2" t="s">
        <v>360</v>
      </c>
      <c r="B41" s="2" t="s">
        <v>361</v>
      </c>
      <c r="C41" s="2" t="s">
        <v>362</v>
      </c>
      <c r="D41" s="2" t="s">
        <v>363</v>
      </c>
      <c r="E41" s="2" t="s">
        <v>364</v>
      </c>
      <c r="F41" s="2" t="s">
        <v>74</v>
      </c>
      <c r="G41" s="2" t="s">
        <v>30</v>
      </c>
      <c r="H41" s="2" t="s">
        <v>365</v>
      </c>
      <c r="I41" s="2" t="s">
        <v>91</v>
      </c>
      <c r="J41" s="2" t="s">
        <v>33</v>
      </c>
      <c r="K41" s="6" t="s">
        <v>366</v>
      </c>
      <c r="L41" s="2" t="b">
        <f t="shared" si="1"/>
        <v>1</v>
      </c>
      <c r="M41" s="2" t="str">
        <f t="shared" si="2"/>
        <v>Valid</v>
      </c>
    </row>
    <row r="42" ht="15.75" customHeight="1">
      <c r="A42" s="2" t="s">
        <v>367</v>
      </c>
      <c r="B42" s="2" t="s">
        <v>368</v>
      </c>
      <c r="C42" s="2" t="s">
        <v>369</v>
      </c>
      <c r="D42" s="2" t="s">
        <v>370</v>
      </c>
      <c r="E42" s="2" t="s">
        <v>371</v>
      </c>
      <c r="F42" s="2" t="s">
        <v>74</v>
      </c>
      <c r="G42" s="2" t="s">
        <v>75</v>
      </c>
      <c r="H42" s="2" t="s">
        <v>372</v>
      </c>
      <c r="I42" s="2" t="s">
        <v>91</v>
      </c>
      <c r="J42" s="2" t="s">
        <v>33</v>
      </c>
      <c r="K42" s="6" t="s">
        <v>373</v>
      </c>
      <c r="L42" s="2" t="b">
        <f t="shared" si="1"/>
        <v>1</v>
      </c>
      <c r="M42" s="2" t="str">
        <f t="shared" si="2"/>
        <v>Valid</v>
      </c>
    </row>
    <row r="43" ht="15.75" customHeight="1">
      <c r="A43" s="2" t="s">
        <v>374</v>
      </c>
      <c r="B43" s="2" t="s">
        <v>375</v>
      </c>
      <c r="C43" s="2" t="s">
        <v>376</v>
      </c>
      <c r="D43" s="2" t="s">
        <v>377</v>
      </c>
      <c r="E43" s="2" t="s">
        <v>378</v>
      </c>
      <c r="F43" s="2" t="s">
        <v>29</v>
      </c>
      <c r="G43" s="2" t="s">
        <v>66</v>
      </c>
      <c r="H43" s="2" t="s">
        <v>379</v>
      </c>
      <c r="I43" s="2" t="s">
        <v>100</v>
      </c>
      <c r="J43" s="2" t="s">
        <v>380</v>
      </c>
      <c r="K43" s="6" t="s">
        <v>381</v>
      </c>
      <c r="L43" s="2" t="b">
        <f t="shared" si="1"/>
        <v>1</v>
      </c>
      <c r="M43" s="2" t="str">
        <f t="shared" si="2"/>
        <v>Valid</v>
      </c>
    </row>
    <row r="44" ht="15.75" customHeight="1">
      <c r="A44" s="2" t="s">
        <v>382</v>
      </c>
      <c r="B44" s="2" t="s">
        <v>383</v>
      </c>
      <c r="C44" s="2" t="s">
        <v>384</v>
      </c>
      <c r="D44" s="2" t="s">
        <v>385</v>
      </c>
      <c r="E44" s="2" t="s">
        <v>386</v>
      </c>
      <c r="F44" s="2" t="s">
        <v>74</v>
      </c>
      <c r="G44" s="2" t="s">
        <v>66</v>
      </c>
      <c r="H44" s="2" t="s">
        <v>387</v>
      </c>
      <c r="I44" s="2" t="s">
        <v>77</v>
      </c>
      <c r="J44" s="2" t="s">
        <v>33</v>
      </c>
      <c r="K44" s="6" t="s">
        <v>381</v>
      </c>
      <c r="L44" s="2" t="b">
        <f t="shared" si="1"/>
        <v>1</v>
      </c>
      <c r="M44" s="2" t="str">
        <f t="shared" si="2"/>
        <v>Valid</v>
      </c>
    </row>
    <row r="45" ht="15.75" customHeight="1">
      <c r="A45" s="2" t="s">
        <v>388</v>
      </c>
      <c r="B45" s="2" t="s">
        <v>389</v>
      </c>
      <c r="C45" s="2" t="s">
        <v>71</v>
      </c>
      <c r="D45" s="2" t="s">
        <v>182</v>
      </c>
      <c r="E45" s="2" t="s">
        <v>390</v>
      </c>
      <c r="F45" s="2" t="s">
        <v>74</v>
      </c>
      <c r="G45" s="2" t="s">
        <v>30</v>
      </c>
      <c r="H45" s="2" t="s">
        <v>391</v>
      </c>
      <c r="I45" s="2" t="s">
        <v>77</v>
      </c>
      <c r="J45" s="2" t="s">
        <v>120</v>
      </c>
      <c r="K45" s="6" t="s">
        <v>392</v>
      </c>
      <c r="L45" s="2" t="b">
        <f t="shared" si="1"/>
        <v>1</v>
      </c>
      <c r="M45" s="2" t="str">
        <f t="shared" si="2"/>
        <v>Valid</v>
      </c>
    </row>
    <row r="46" ht="15.75" customHeight="1">
      <c r="A46" s="2" t="s">
        <v>393</v>
      </c>
      <c r="B46" s="2" t="s">
        <v>394</v>
      </c>
      <c r="C46" s="2" t="s">
        <v>181</v>
      </c>
      <c r="D46" s="2" t="s">
        <v>395</v>
      </c>
      <c r="E46" s="2" t="s">
        <v>396</v>
      </c>
      <c r="F46" s="2" t="s">
        <v>29</v>
      </c>
      <c r="G46" s="2" t="s">
        <v>127</v>
      </c>
      <c r="H46" s="2" t="s">
        <v>397</v>
      </c>
      <c r="I46" s="2" t="s">
        <v>100</v>
      </c>
      <c r="J46" s="2" t="s">
        <v>33</v>
      </c>
      <c r="K46" s="6" t="s">
        <v>398</v>
      </c>
      <c r="L46" s="2" t="b">
        <f t="shared" si="1"/>
        <v>1</v>
      </c>
      <c r="M46" s="2" t="str">
        <f t="shared" si="2"/>
        <v>Valid</v>
      </c>
    </row>
    <row r="47" ht="15.75" customHeight="1">
      <c r="A47" s="2" t="s">
        <v>399</v>
      </c>
      <c r="B47" s="2" t="s">
        <v>376</v>
      </c>
      <c r="C47" s="2" t="s">
        <v>400</v>
      </c>
      <c r="D47" s="2" t="s">
        <v>401</v>
      </c>
      <c r="E47" s="2" t="s">
        <v>402</v>
      </c>
      <c r="F47" s="2" t="s">
        <v>74</v>
      </c>
      <c r="G47" s="2" t="s">
        <v>66</v>
      </c>
      <c r="H47" s="2" t="s">
        <v>403</v>
      </c>
      <c r="I47" s="2" t="s">
        <v>77</v>
      </c>
      <c r="J47" s="2" t="s">
        <v>33</v>
      </c>
      <c r="K47" s="6" t="s">
        <v>404</v>
      </c>
      <c r="L47" s="2" t="b">
        <f t="shared" si="1"/>
        <v>1</v>
      </c>
      <c r="M47" s="2" t="str">
        <f t="shared" si="2"/>
        <v>Valid</v>
      </c>
    </row>
    <row r="48" ht="15.75" customHeight="1">
      <c r="A48" s="2" t="s">
        <v>405</v>
      </c>
      <c r="B48" s="2" t="s">
        <v>406</v>
      </c>
      <c r="C48" s="2" t="s">
        <v>87</v>
      </c>
      <c r="D48" s="2" t="s">
        <v>407</v>
      </c>
      <c r="E48" s="2" t="s">
        <v>408</v>
      </c>
      <c r="F48" s="2" t="s">
        <v>74</v>
      </c>
      <c r="G48" s="2" t="s">
        <v>98</v>
      </c>
      <c r="H48" s="2" t="s">
        <v>409</v>
      </c>
      <c r="I48" s="2" t="s">
        <v>91</v>
      </c>
      <c r="J48" s="2" t="s">
        <v>33</v>
      </c>
      <c r="K48" s="6" t="s">
        <v>404</v>
      </c>
      <c r="L48" s="2" t="b">
        <f t="shared" si="1"/>
        <v>1</v>
      </c>
      <c r="M48" s="2" t="str">
        <f t="shared" si="2"/>
        <v>Valid</v>
      </c>
    </row>
    <row r="49" ht="15.75" customHeight="1">
      <c r="A49" s="2" t="s">
        <v>410</v>
      </c>
      <c r="B49" s="2" t="s">
        <v>411</v>
      </c>
      <c r="C49" s="2" t="s">
        <v>412</v>
      </c>
      <c r="D49" s="2" t="s">
        <v>413</v>
      </c>
      <c r="E49" s="2" t="s">
        <v>414</v>
      </c>
      <c r="F49" s="2" t="s">
        <v>74</v>
      </c>
      <c r="G49" s="2" t="s">
        <v>205</v>
      </c>
      <c r="H49" s="2" t="s">
        <v>415</v>
      </c>
      <c r="I49" s="2" t="s">
        <v>91</v>
      </c>
      <c r="J49" s="2" t="s">
        <v>33</v>
      </c>
      <c r="K49" s="6" t="s">
        <v>416</v>
      </c>
      <c r="L49" s="2" t="b">
        <f t="shared" si="1"/>
        <v>1</v>
      </c>
      <c r="M49" s="2" t="str">
        <f t="shared" si="2"/>
        <v>Valid</v>
      </c>
    </row>
    <row r="50" ht="15.75" customHeight="1">
      <c r="A50" s="2" t="s">
        <v>417</v>
      </c>
      <c r="B50" s="2" t="s">
        <v>216</v>
      </c>
      <c r="C50" s="2" t="s">
        <v>418</v>
      </c>
      <c r="D50" s="2" t="s">
        <v>419</v>
      </c>
      <c r="E50" s="2" t="s">
        <v>420</v>
      </c>
      <c r="F50" s="2" t="s">
        <v>74</v>
      </c>
      <c r="G50" s="2" t="s">
        <v>205</v>
      </c>
      <c r="H50" s="2" t="s">
        <v>421</v>
      </c>
      <c r="I50" s="2" t="s">
        <v>77</v>
      </c>
      <c r="J50" s="2" t="s">
        <v>33</v>
      </c>
      <c r="K50" s="6" t="s">
        <v>422</v>
      </c>
      <c r="L50" s="2" t="b">
        <f t="shared" si="1"/>
        <v>1</v>
      </c>
      <c r="M50" s="2" t="str">
        <f t="shared" si="2"/>
        <v>Valid</v>
      </c>
    </row>
    <row r="51" ht="15.75" customHeight="1">
      <c r="A51" s="2" t="s">
        <v>423</v>
      </c>
      <c r="B51" s="2" t="s">
        <v>424</v>
      </c>
      <c r="C51" s="2" t="s">
        <v>425</v>
      </c>
      <c r="D51" s="2" t="s">
        <v>426</v>
      </c>
      <c r="E51" s="2" t="s">
        <v>427</v>
      </c>
      <c r="F51" s="2" t="s">
        <v>74</v>
      </c>
      <c r="G51" s="2" t="s">
        <v>98</v>
      </c>
      <c r="H51" s="2" t="s">
        <v>428</v>
      </c>
      <c r="I51" s="2" t="s">
        <v>91</v>
      </c>
      <c r="J51" s="2" t="s">
        <v>33</v>
      </c>
      <c r="K51" s="6" t="s">
        <v>430</v>
      </c>
      <c r="L51" s="2" t="b">
        <f t="shared" si="1"/>
        <v>1</v>
      </c>
      <c r="M51" s="2" t="str">
        <f t="shared" si="2"/>
        <v>Valid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19.86"/>
    <col customWidth="1" min="3" max="3" width="20.71"/>
    <col customWidth="1" min="4" max="4" width="38.14"/>
    <col customWidth="1" min="5" max="5" width="27.86"/>
    <col customWidth="1" min="6" max="6" width="29.86"/>
    <col customWidth="1" min="7" max="7" width="12.14"/>
    <col customWidth="1" min="8" max="26" width="8.71"/>
  </cols>
  <sheetData>
    <row r="1" ht="17.25" customHeight="1">
      <c r="A1" s="7" t="s">
        <v>219</v>
      </c>
      <c r="B1" s="7" t="s">
        <v>224</v>
      </c>
      <c r="C1" s="7" t="s">
        <v>227</v>
      </c>
      <c r="D1" s="7" t="s">
        <v>229</v>
      </c>
      <c r="E1" s="8" t="s">
        <v>231</v>
      </c>
      <c r="F1" s="7" t="s">
        <v>232</v>
      </c>
      <c r="G1" s="7" t="s">
        <v>235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7.25" customHeight="1">
      <c r="A2" s="2" t="s">
        <v>250</v>
      </c>
      <c r="B2" s="9" t="s">
        <v>254</v>
      </c>
      <c r="C2" s="9" t="s">
        <v>38</v>
      </c>
      <c r="D2" s="9" t="s">
        <v>255</v>
      </c>
      <c r="E2" s="2" t="s">
        <v>257</v>
      </c>
      <c r="F2" s="9" t="s">
        <v>258</v>
      </c>
      <c r="G2" s="9" t="s">
        <v>259</v>
      </c>
    </row>
    <row r="3" ht="17.25" customHeight="1">
      <c r="A3" s="9" t="s">
        <v>260</v>
      </c>
      <c r="B3" s="9" t="s">
        <v>261</v>
      </c>
      <c r="C3" s="9" t="s">
        <v>262</v>
      </c>
      <c r="D3" s="9" t="s">
        <v>264</v>
      </c>
      <c r="E3" s="2" t="s">
        <v>267</v>
      </c>
      <c r="F3" s="9" t="s">
        <v>258</v>
      </c>
      <c r="G3" s="9" t="s">
        <v>259</v>
      </c>
    </row>
    <row r="4" ht="17.25" customHeight="1">
      <c r="A4" s="9" t="s">
        <v>270</v>
      </c>
      <c r="B4" s="9" t="s">
        <v>272</v>
      </c>
      <c r="C4" s="9" t="s">
        <v>51</v>
      </c>
      <c r="D4" s="9" t="s">
        <v>275</v>
      </c>
      <c r="E4" s="2" t="s">
        <v>276</v>
      </c>
      <c r="F4" s="9" t="s">
        <v>277</v>
      </c>
      <c r="G4" s="9" t="s">
        <v>259</v>
      </c>
    </row>
    <row r="5" ht="17.25" customHeight="1">
      <c r="A5" s="2" t="s">
        <v>282</v>
      </c>
      <c r="B5" s="9" t="s">
        <v>284</v>
      </c>
      <c r="C5" s="9" t="s">
        <v>44</v>
      </c>
      <c r="D5" s="9" t="s">
        <v>286</v>
      </c>
      <c r="E5" s="2" t="s">
        <v>287</v>
      </c>
      <c r="F5" s="9" t="s">
        <v>288</v>
      </c>
      <c r="G5" s="9" t="s">
        <v>259</v>
      </c>
    </row>
    <row r="6" ht="17.25" customHeight="1">
      <c r="A6" s="9" t="s">
        <v>293</v>
      </c>
      <c r="B6" s="9" t="s">
        <v>295</v>
      </c>
      <c r="C6" s="9" t="s">
        <v>54</v>
      </c>
      <c r="D6" s="9" t="s">
        <v>297</v>
      </c>
      <c r="E6" s="2" t="s">
        <v>298</v>
      </c>
      <c r="F6" s="9" t="s">
        <v>300</v>
      </c>
      <c r="G6" s="9" t="s">
        <v>259</v>
      </c>
    </row>
    <row r="7" ht="17.25" customHeight="1"/>
    <row r="8" ht="17.25" customHeight="1"/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